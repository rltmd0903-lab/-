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코드북" sheetId="2" state="visible" r:id="rId2"/>
    <sheet xmlns:r="http://schemas.openxmlformats.org/officeDocument/2006/relationships" name="입력점검" sheetId="3" state="visible" r:id="rId3"/>
    <sheet xmlns:r="http://schemas.openxmlformats.org/officeDocument/2006/relationships" name="입력안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9"/>
    </font>
    <font>
      <name val="맑은 고딕"/>
      <sz val="10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sz val="11"/>
    </font>
  </fonts>
  <fills count="8">
    <fill>
      <patternFill/>
    </fill>
    <fill>
      <patternFill patternType="gray125"/>
    </fill>
    <fill>
      <patternFill patternType="solid">
        <fgColor rgb="007F6000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165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164" fontId="2" fillId="5" borderId="1" applyAlignment="1" pivotButton="0" quotePrefix="0" xfId="0">
      <alignment horizontal="center"/>
    </xf>
    <xf numFmtId="2" fontId="2" fillId="5" borderId="1" applyAlignment="1" pivotButton="0" quotePrefix="0" xfId="0">
      <alignment horizontal="center"/>
    </xf>
    <xf numFmtId="165" fontId="2" fillId="7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164" fontId="2" fillId="7" borderId="1" applyAlignment="1" pivotButton="0" quotePrefix="0" xfId="0">
      <alignment horizontal="center"/>
    </xf>
    <xf numFmtId="2" fontId="2" fillId="7" borderId="1" applyAlignment="1" pivotButton="0" quotePrefix="0" xfId="0">
      <alignment horizontal="center"/>
    </xf>
    <xf numFmtId="0" fontId="3" fillId="4" borderId="0" pivotButton="0" quotePrefix="0" xfId="0"/>
    <xf numFmtId="0" fontId="4" fillId="0" borderId="0" applyAlignment="1" pivotButton="0" quotePrefix="0" xfId="0">
      <alignment vertical="top" wrapText="1"/>
    </xf>
    <xf numFmtId="0" fontId="1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양식</author>
  </authors>
  <commentList>
    <comment ref="A1" authorId="0" shapeId="0">
      <text>
        <t>대상자 번호(기록지 번호)
기록지에 적힌 번호</t>
      </text>
    </comment>
    <comment ref="B1" authorId="0" shapeId="0">
      <text>
        <t>집단
1=실험, 2=통제</t>
      </text>
    </comment>
    <comment ref="C1" authorId="0" shapeId="0">
      <text>
        <t>이용 층
2 또는 4</t>
      </text>
    </comment>
    <comment ref="D1" authorId="0" shapeId="0">
      <text>
        <t>최종 분석 포함
1=포함, 0=제외</t>
      </text>
    </comment>
    <comment ref="E1" authorId="0" shapeId="0">
      <text>
        <t>제외 사유
제외자만. 1 출석 미달, 2 건강상 이유, 3 사후검사 불참, 4 참여 철회, 5 기타</t>
      </text>
    </comment>
    <comment ref="F1" authorId="0" shapeId="0">
      <text>
        <t>제외 사유 상세
제외자만. 예: 무릎 통증으로 4주차부터 불참</t>
      </text>
    </comment>
    <comment ref="G1" authorId="0" shapeId="0">
      <text>
        <t>제외 시점
제외자만. 1 사전검사 후 중재 시작 전, 2 중재 중, 3 사후검사 전</t>
      </text>
    </comment>
    <comment ref="H1" authorId="0" shapeId="0">
      <text>
        <t>출석 횟수(24회 중)
실험집단만. 출석부 기준</t>
      </text>
    </comment>
    <comment ref="I1" authorId="0" shapeId="0">
      <text>
        <t>8주차 최종 밴드 색상
실험집단만. 예: 빨강</t>
      </text>
    </comment>
    <comment ref="J1" authorId="0" shapeId="0">
      <text>
        <t>나이(만, 세)
만 나이</t>
      </text>
    </comment>
    <comment ref="K1" authorId="0" shapeId="0">
      <text>
        <t>신장(cm)
cm, 기록지 그대로</t>
      </text>
    </comment>
    <comment ref="L1" authorId="0" shapeId="0">
      <text>
        <t>체중(kg)
kg, 기록지 그대로</t>
      </text>
    </comment>
    <comment ref="M1" authorId="0" shapeId="0">
      <text>
        <t>사전검사 날짜
YYYY-MM-DD</t>
      </text>
    </comment>
    <comment ref="N1" authorId="0" shapeId="0">
      <text>
        <t>사전 측정자
이름 또는 기호(예: A)</t>
      </text>
    </comment>
    <comment ref="O1" authorId="0" shapeId="0">
      <text>
        <t>KFES-I 1번 문항 사전
1 전혀 걱정 안 함 ~ 4 매우 걱정</t>
      </text>
    </comment>
    <comment ref="P1" authorId="0" shapeId="0">
      <text>
        <t>KFES-I 2번 문항 사전
1 전혀 걱정 안 함 ~ 4 매우 걱정</t>
      </text>
    </comment>
    <comment ref="Q1" authorId="0" shapeId="0">
      <text>
        <t>KFES-I 3번 문항 사전
1 전혀 걱정 안 함 ~ 4 매우 걱정</t>
      </text>
    </comment>
    <comment ref="R1" authorId="0" shapeId="0">
      <text>
        <t>KFES-I 4번 문항 사전
1 전혀 걱정 안 함 ~ 4 매우 걱정</t>
      </text>
    </comment>
    <comment ref="S1" authorId="0" shapeId="0">
      <text>
        <t>KFES-I 5번 문항 사전
1 전혀 걱정 안 함 ~ 4 매우 걱정</t>
      </text>
    </comment>
    <comment ref="T1" authorId="0" shapeId="0">
      <text>
        <t>KFES-I 6번 문항 사전
1 전혀 걱정 안 함 ~ 4 매우 걱정</t>
      </text>
    </comment>
    <comment ref="U1" authorId="0" shapeId="0">
      <text>
        <t>KFES-I 7번 문항 사전
1 전혀 걱정 안 함 ~ 4 매우 걱정</t>
      </text>
    </comment>
    <comment ref="V1" authorId="0" shapeId="0">
      <text>
        <t>KFES-I 8번 문항 사전
1 전혀 걱정 안 함 ~ 4 매우 걱정</t>
      </text>
    </comment>
    <comment ref="W1" authorId="0" shapeId="0">
      <text>
        <t>KFES-I 9번 문항 사전
1 전혀 걱정 안 함 ~ 4 매우 걱정</t>
      </text>
    </comment>
    <comment ref="X1" authorId="0" shapeId="0">
      <text>
        <t>KFES-I 10번 문항 사전
1 전혀 걱정 안 함 ~ 4 매우 걱정</t>
      </text>
    </comment>
    <comment ref="Y1" authorId="0" shapeId="0">
      <text>
        <t>KFES-I 11번 문항 사전
1 전혀 걱정 안 함 ~ 4 매우 걱정</t>
      </text>
    </comment>
    <comment ref="Z1" authorId="0" shapeId="0">
      <text>
        <t>KFES-I 12번 문항 사전
1 전혀 걱정 안 함 ~ 4 매우 걱정</t>
      </text>
    </comment>
    <comment ref="AA1" authorId="0" shapeId="0">
      <text>
        <t>KFES-I 13번 문항 사전
1 전혀 걱정 안 함 ~ 4 매우 걱정</t>
      </text>
    </comment>
    <comment ref="AB1" authorId="0" shapeId="0">
      <text>
        <t>KFES-I 14번 문항 사전
1 전혀 걱정 안 함 ~ 4 매우 걱정</t>
      </text>
    </comment>
    <comment ref="AC1" authorId="0" shapeId="0">
      <text>
        <t>KFES-I 15번 문항 사전
1 전혀 걱정 안 함 ~ 4 매우 걱정</t>
      </text>
    </comment>
    <comment ref="AD1" authorId="0" shapeId="0">
      <text>
        <t>KFES-I 16번 문항 사전
1 전혀 걱정 안 함 ~ 4 매우 걱정</t>
      </text>
    </comment>
    <comment ref="AE1" authorId="0" shapeId="0">
      <text>
        <t>의자 일어서기 사전(회/30초)
30초 동안 완전히 일어선 횟수</t>
      </text>
    </comment>
    <comment ref="AF1" authorId="0" shapeId="0">
      <text>
        <t>팔 굽히기 사전(회/30초)
30초 동안 덤벨 들기 횟수</t>
      </text>
    </comment>
    <comment ref="AG1" authorId="0" shapeId="0">
      <text>
        <t>2분 제자리 걷기 사전(회)
2분 동안 오른쪽 무릎이 기준 높이에 닿은 횟수</t>
      </text>
    </comment>
    <comment ref="AH1" authorId="0" shapeId="0">
      <text>
        <t>등 뒤로 손잡기 사전 1회(cm)
닿지 않으면 -, 겹치면 +</t>
      </text>
    </comment>
    <comment ref="AI1" authorId="0" shapeId="0">
      <text>
        <t>등 뒤로 손잡기 사전 2회(cm)
2회 기록이 없으면 비움</t>
      </text>
    </comment>
    <comment ref="AJ1" authorId="0" shapeId="0">
      <text>
        <t>의자에 앉아 윗몸 앞으로 굽히기 사전 1회(cm)
발끝 못 미치면 -, 지나면 +</t>
      </text>
    </comment>
    <comment ref="AK1" authorId="0" shapeId="0">
      <text>
        <t>의자에 앉아 윗몸 앞으로 굽히기 사전 2회(cm)
2회 기록이 없으면 비움</t>
      </text>
    </comment>
    <comment ref="AL1" authorId="0" shapeId="0">
      <text>
        <t>2.44 m 갔다 오기 사전 1회(초)
초, 기록지에 적힌 자리수 그대로</t>
      </text>
    </comment>
    <comment ref="AM1" authorId="0" shapeId="0">
      <text>
        <t>2.44 m 갔다 오기 사전 2회(초)
2회 기록이 없으면 비움</t>
      </text>
    </comment>
    <comment ref="AN1" authorId="0" shapeId="0">
      <text>
        <t>사후검사 날짜
YYYY-MM-DD</t>
      </text>
    </comment>
    <comment ref="AO1" authorId="0" shapeId="0">
      <text>
        <t>사후 측정자
이름 또는 기호(예: A)</t>
      </text>
    </comment>
    <comment ref="AP1" authorId="0" shapeId="0">
      <text>
        <t>KFES-I 1번 문항 사후
1 전혀 걱정 안 함 ~ 4 매우 걱정</t>
      </text>
    </comment>
    <comment ref="AQ1" authorId="0" shapeId="0">
      <text>
        <t>KFES-I 2번 문항 사후
1 전혀 걱정 안 함 ~ 4 매우 걱정</t>
      </text>
    </comment>
    <comment ref="AR1" authorId="0" shapeId="0">
      <text>
        <t>KFES-I 3번 문항 사후
1 전혀 걱정 안 함 ~ 4 매우 걱정</t>
      </text>
    </comment>
    <comment ref="AS1" authorId="0" shapeId="0">
      <text>
        <t>KFES-I 4번 문항 사후
1 전혀 걱정 안 함 ~ 4 매우 걱정</t>
      </text>
    </comment>
    <comment ref="AT1" authorId="0" shapeId="0">
      <text>
        <t>KFES-I 5번 문항 사후
1 전혀 걱정 안 함 ~ 4 매우 걱정</t>
      </text>
    </comment>
    <comment ref="AU1" authorId="0" shapeId="0">
      <text>
        <t>KFES-I 6번 문항 사후
1 전혀 걱정 안 함 ~ 4 매우 걱정</t>
      </text>
    </comment>
    <comment ref="AV1" authorId="0" shapeId="0">
      <text>
        <t>KFES-I 7번 문항 사후
1 전혀 걱정 안 함 ~ 4 매우 걱정</t>
      </text>
    </comment>
    <comment ref="AW1" authorId="0" shapeId="0">
      <text>
        <t>KFES-I 8번 문항 사후
1 전혀 걱정 안 함 ~ 4 매우 걱정</t>
      </text>
    </comment>
    <comment ref="AX1" authorId="0" shapeId="0">
      <text>
        <t>KFES-I 9번 문항 사후
1 전혀 걱정 안 함 ~ 4 매우 걱정</t>
      </text>
    </comment>
    <comment ref="AY1" authorId="0" shapeId="0">
      <text>
        <t>KFES-I 10번 문항 사후
1 전혀 걱정 안 함 ~ 4 매우 걱정</t>
      </text>
    </comment>
    <comment ref="AZ1" authorId="0" shapeId="0">
      <text>
        <t>KFES-I 11번 문항 사후
1 전혀 걱정 안 함 ~ 4 매우 걱정</t>
      </text>
    </comment>
    <comment ref="BA1" authorId="0" shapeId="0">
      <text>
        <t>KFES-I 12번 문항 사후
1 전혀 걱정 안 함 ~ 4 매우 걱정</t>
      </text>
    </comment>
    <comment ref="BB1" authorId="0" shapeId="0">
      <text>
        <t>KFES-I 13번 문항 사후
1 전혀 걱정 안 함 ~ 4 매우 걱정</t>
      </text>
    </comment>
    <comment ref="BC1" authorId="0" shapeId="0">
      <text>
        <t>KFES-I 14번 문항 사후
1 전혀 걱정 안 함 ~ 4 매우 걱정</t>
      </text>
    </comment>
    <comment ref="BD1" authorId="0" shapeId="0">
      <text>
        <t>KFES-I 15번 문항 사후
1 전혀 걱정 안 함 ~ 4 매우 걱정</t>
      </text>
    </comment>
    <comment ref="BE1" authorId="0" shapeId="0">
      <text>
        <t>KFES-I 16번 문항 사후
1 전혀 걱정 안 함 ~ 4 매우 걱정</t>
      </text>
    </comment>
    <comment ref="BF1" authorId="0" shapeId="0">
      <text>
        <t>의자 일어서기 사후(회/30초)
30초 동안 완전히 일어선 횟수</t>
      </text>
    </comment>
    <comment ref="BG1" authorId="0" shapeId="0">
      <text>
        <t>팔 굽히기 사후(회/30초)
30초 동안 덤벨 들기 횟수</t>
      </text>
    </comment>
    <comment ref="BH1" authorId="0" shapeId="0">
      <text>
        <t>2분 제자리 걷기 사후(회)
2분 동안 오른쪽 무릎이 기준 높이에 닿은 횟수</t>
      </text>
    </comment>
    <comment ref="BI1" authorId="0" shapeId="0">
      <text>
        <t>등 뒤로 손잡기 사후 1회(cm)
닿지 않으면 -, 겹치면 +</t>
      </text>
    </comment>
    <comment ref="BJ1" authorId="0" shapeId="0">
      <text>
        <t>등 뒤로 손잡기 사후 2회(cm)
2회 기록이 없으면 비움</t>
      </text>
    </comment>
    <comment ref="BK1" authorId="0" shapeId="0">
      <text>
        <t>의자에 앉아 윗몸 앞으로 굽히기 사후 1회(cm)
발끝 못 미치면 -, 지나면 +</t>
      </text>
    </comment>
    <comment ref="BL1" authorId="0" shapeId="0">
      <text>
        <t>의자에 앉아 윗몸 앞으로 굽히기 사후 2회(cm)
2회 기록이 없으면 비움</t>
      </text>
    </comment>
    <comment ref="BM1" authorId="0" shapeId="0">
      <text>
        <t>2.44 m 갔다 오기 사후 1회(초)
초, 기록지에 적힌 자리수 그대로</t>
      </text>
    </comment>
    <comment ref="BN1" authorId="0" shapeId="0">
      <text>
        <t>2.44 m 갔다 오기 사후 2회(초)
2회 기록이 없으면 비움</t>
      </text>
    </comment>
    <comment ref="BO1" authorId="0" shapeId="0">
      <text>
        <t>비고
기록지 특이사항(수정 흔적, 판독 불가 등)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16" customWidth="1" min="6" max="6"/>
    <col width="9" customWidth="1" min="7" max="7"/>
    <col width="9" customWidth="1" min="8" max="8"/>
    <col width="16" customWidth="1" min="9" max="9"/>
    <col width="9" customWidth="1" min="10" max="10"/>
    <col width="9" customWidth="1" min="11" max="11"/>
    <col width="9" customWidth="1" min="12" max="12"/>
    <col width="11" customWidth="1" min="13" max="13"/>
    <col width="16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11" customWidth="1" min="40" max="40"/>
    <col width="1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16" customWidth="1" min="67" max="67"/>
  </cols>
  <sheetData>
    <row r="1" ht="30" customHeight="1">
      <c r="A1" s="1" t="inlineStr">
        <is>
          <t>id</t>
        </is>
      </c>
      <c r="B1" s="1" t="inlineStr">
        <is>
          <t>group</t>
        </is>
      </c>
      <c r="C1" s="1" t="inlineStr">
        <is>
          <t>floor</t>
        </is>
      </c>
      <c r="D1" s="1" t="inlineStr">
        <is>
          <t>incl</t>
        </is>
      </c>
      <c r="E1" s="1" t="inlineStr">
        <is>
          <t>excl_rsn</t>
        </is>
      </c>
      <c r="F1" s="1" t="inlineStr">
        <is>
          <t>excl_txt</t>
        </is>
      </c>
      <c r="G1" s="1" t="inlineStr">
        <is>
          <t>excl_when</t>
        </is>
      </c>
      <c r="H1" s="1" t="inlineStr">
        <is>
          <t>attend</t>
        </is>
      </c>
      <c r="I1" s="1" t="inlineStr">
        <is>
          <t>band_fin</t>
        </is>
      </c>
      <c r="J1" s="1" t="inlineStr">
        <is>
          <t>age</t>
        </is>
      </c>
      <c r="K1" s="1" t="inlineStr">
        <is>
          <t>height</t>
        </is>
      </c>
      <c r="L1" s="1" t="inlineStr">
        <is>
          <t>weight</t>
        </is>
      </c>
      <c r="M1" s="2" t="inlineStr">
        <is>
          <t>date_pre</t>
        </is>
      </c>
      <c r="N1" s="2" t="inlineStr">
        <is>
          <t>rater_pre</t>
        </is>
      </c>
      <c r="O1" s="2" t="inlineStr">
        <is>
          <t>kfes01_pre</t>
        </is>
      </c>
      <c r="P1" s="2" t="inlineStr">
        <is>
          <t>kfes02_pre</t>
        </is>
      </c>
      <c r="Q1" s="2" t="inlineStr">
        <is>
          <t>kfes03_pre</t>
        </is>
      </c>
      <c r="R1" s="2" t="inlineStr">
        <is>
          <t>kfes04_pre</t>
        </is>
      </c>
      <c r="S1" s="2" t="inlineStr">
        <is>
          <t>kfes05_pre</t>
        </is>
      </c>
      <c r="T1" s="2" t="inlineStr">
        <is>
          <t>kfes06_pre</t>
        </is>
      </c>
      <c r="U1" s="2" t="inlineStr">
        <is>
          <t>kfes07_pre</t>
        </is>
      </c>
      <c r="V1" s="2" t="inlineStr">
        <is>
          <t>kfes08_pre</t>
        </is>
      </c>
      <c r="W1" s="2" t="inlineStr">
        <is>
          <t>kfes09_pre</t>
        </is>
      </c>
      <c r="X1" s="2" t="inlineStr">
        <is>
          <t>kfes10_pre</t>
        </is>
      </c>
      <c r="Y1" s="2" t="inlineStr">
        <is>
          <t>kfes11_pre</t>
        </is>
      </c>
      <c r="Z1" s="2" t="inlineStr">
        <is>
          <t>kfes12_pre</t>
        </is>
      </c>
      <c r="AA1" s="2" t="inlineStr">
        <is>
          <t>kfes13_pre</t>
        </is>
      </c>
      <c r="AB1" s="2" t="inlineStr">
        <is>
          <t>kfes14_pre</t>
        </is>
      </c>
      <c r="AC1" s="2" t="inlineStr">
        <is>
          <t>kfes15_pre</t>
        </is>
      </c>
      <c r="AD1" s="2" t="inlineStr">
        <is>
          <t>kfes16_pre</t>
        </is>
      </c>
      <c r="AE1" s="2" t="inlineStr">
        <is>
          <t>chair_pre</t>
        </is>
      </c>
      <c r="AF1" s="2" t="inlineStr">
        <is>
          <t>curl_pre</t>
        </is>
      </c>
      <c r="AG1" s="2" t="inlineStr">
        <is>
          <t>step_pre</t>
        </is>
      </c>
      <c r="AH1" s="2" t="inlineStr">
        <is>
          <t>bs1_pre</t>
        </is>
      </c>
      <c r="AI1" s="2" t="inlineStr">
        <is>
          <t>bs2_pre</t>
        </is>
      </c>
      <c r="AJ1" s="2" t="inlineStr">
        <is>
          <t>sr1_pre</t>
        </is>
      </c>
      <c r="AK1" s="2" t="inlineStr">
        <is>
          <t>sr2_pre</t>
        </is>
      </c>
      <c r="AL1" s="2" t="inlineStr">
        <is>
          <t>tug1_pre</t>
        </is>
      </c>
      <c r="AM1" s="2" t="inlineStr">
        <is>
          <t>tug2_pre</t>
        </is>
      </c>
      <c r="AN1" s="3" t="inlineStr">
        <is>
          <t>date_post</t>
        </is>
      </c>
      <c r="AO1" s="3" t="inlineStr">
        <is>
          <t>rater_post</t>
        </is>
      </c>
      <c r="AP1" s="3" t="inlineStr">
        <is>
          <t>kfes01_post</t>
        </is>
      </c>
      <c r="AQ1" s="3" t="inlineStr">
        <is>
          <t>kfes02_post</t>
        </is>
      </c>
      <c r="AR1" s="3" t="inlineStr">
        <is>
          <t>kfes03_post</t>
        </is>
      </c>
      <c r="AS1" s="3" t="inlineStr">
        <is>
          <t>kfes04_post</t>
        </is>
      </c>
      <c r="AT1" s="3" t="inlineStr">
        <is>
          <t>kfes05_post</t>
        </is>
      </c>
      <c r="AU1" s="3" t="inlineStr">
        <is>
          <t>kfes06_post</t>
        </is>
      </c>
      <c r="AV1" s="3" t="inlineStr">
        <is>
          <t>kfes07_post</t>
        </is>
      </c>
      <c r="AW1" s="3" t="inlineStr">
        <is>
          <t>kfes08_post</t>
        </is>
      </c>
      <c r="AX1" s="3" t="inlineStr">
        <is>
          <t>kfes09_post</t>
        </is>
      </c>
      <c r="AY1" s="3" t="inlineStr">
        <is>
          <t>kfes10_post</t>
        </is>
      </c>
      <c r="AZ1" s="3" t="inlineStr">
        <is>
          <t>kfes11_post</t>
        </is>
      </c>
      <c r="BA1" s="3" t="inlineStr">
        <is>
          <t>kfes12_post</t>
        </is>
      </c>
      <c r="BB1" s="3" t="inlineStr">
        <is>
          <t>kfes13_post</t>
        </is>
      </c>
      <c r="BC1" s="3" t="inlineStr">
        <is>
          <t>kfes14_post</t>
        </is>
      </c>
      <c r="BD1" s="3" t="inlineStr">
        <is>
          <t>kfes15_post</t>
        </is>
      </c>
      <c r="BE1" s="3" t="inlineStr">
        <is>
          <t>kfes16_post</t>
        </is>
      </c>
      <c r="BF1" s="3" t="inlineStr">
        <is>
          <t>chair_post</t>
        </is>
      </c>
      <c r="BG1" s="3" t="inlineStr">
        <is>
          <t>curl_post</t>
        </is>
      </c>
      <c r="BH1" s="3" t="inlineStr">
        <is>
          <t>step_post</t>
        </is>
      </c>
      <c r="BI1" s="3" t="inlineStr">
        <is>
          <t>bs1_post</t>
        </is>
      </c>
      <c r="BJ1" s="3" t="inlineStr">
        <is>
          <t>bs2_post</t>
        </is>
      </c>
      <c r="BK1" s="3" t="inlineStr">
        <is>
          <t>sr1_post</t>
        </is>
      </c>
      <c r="BL1" s="3" t="inlineStr">
        <is>
          <t>sr2_post</t>
        </is>
      </c>
      <c r="BM1" s="3" t="inlineStr">
        <is>
          <t>tug1_post</t>
        </is>
      </c>
      <c r="BN1" s="3" t="inlineStr">
        <is>
          <t>tug2_post</t>
        </is>
      </c>
      <c r="BO1" s="1" t="inlineStr">
        <is>
          <t>note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5" t="n"/>
      <c r="L2" s="5" t="n"/>
      <c r="M2" s="6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8" t="n"/>
      <c r="AI2" s="8" t="n"/>
      <c r="AJ2" s="8" t="n"/>
      <c r="AK2" s="8" t="n"/>
      <c r="AL2" s="9" t="n"/>
      <c r="AM2" s="9" t="n"/>
      <c r="AN2" s="10" t="n"/>
      <c r="AO2" s="11" t="n"/>
      <c r="AP2" s="11" t="n"/>
      <c r="AQ2" s="11" t="n"/>
      <c r="AR2" s="11" t="n"/>
      <c r="AS2" s="11" t="n"/>
      <c r="AT2" s="11" t="n"/>
      <c r="AU2" s="11" t="n"/>
      <c r="AV2" s="11" t="n"/>
      <c r="AW2" s="11" t="n"/>
      <c r="AX2" s="11" t="n"/>
      <c r="AY2" s="11" t="n"/>
      <c r="AZ2" s="11" t="n"/>
      <c r="BA2" s="11" t="n"/>
      <c r="BB2" s="11" t="n"/>
      <c r="BC2" s="11" t="n"/>
      <c r="BD2" s="11" t="n"/>
      <c r="BE2" s="11" t="n"/>
      <c r="BF2" s="11" t="n"/>
      <c r="BG2" s="11" t="n"/>
      <c r="BH2" s="11" t="n"/>
      <c r="BI2" s="12" t="n"/>
      <c r="BJ2" s="12" t="n"/>
      <c r="BK2" s="12" t="n"/>
      <c r="BL2" s="12" t="n"/>
      <c r="BM2" s="13" t="n"/>
      <c r="BN2" s="13" t="n"/>
      <c r="B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5" t="n"/>
      <c r="L3" s="5" t="n"/>
      <c r="M3" s="6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8" t="n"/>
      <c r="AI3" s="8" t="n"/>
      <c r="AJ3" s="8" t="n"/>
      <c r="AK3" s="8" t="n"/>
      <c r="AL3" s="9" t="n"/>
      <c r="AM3" s="9" t="n"/>
      <c r="AN3" s="10" t="n"/>
      <c r="AO3" s="11" t="n"/>
      <c r="AP3" s="11" t="n"/>
      <c r="AQ3" s="11" t="n"/>
      <c r="AR3" s="11" t="n"/>
      <c r="AS3" s="11" t="n"/>
      <c r="AT3" s="11" t="n"/>
      <c r="AU3" s="11" t="n"/>
      <c r="AV3" s="11" t="n"/>
      <c r="AW3" s="11" t="n"/>
      <c r="AX3" s="11" t="n"/>
      <c r="AY3" s="11" t="n"/>
      <c r="AZ3" s="11" t="n"/>
      <c r="BA3" s="11" t="n"/>
      <c r="BB3" s="11" t="n"/>
      <c r="BC3" s="11" t="n"/>
      <c r="BD3" s="11" t="n"/>
      <c r="BE3" s="11" t="n"/>
      <c r="BF3" s="11" t="n"/>
      <c r="BG3" s="11" t="n"/>
      <c r="BH3" s="11" t="n"/>
      <c r="BI3" s="12" t="n"/>
      <c r="BJ3" s="12" t="n"/>
      <c r="BK3" s="12" t="n"/>
      <c r="BL3" s="12" t="n"/>
      <c r="BM3" s="13" t="n"/>
      <c r="BN3" s="13" t="n"/>
      <c r="BO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5" t="n"/>
      <c r="L4" s="5" t="n"/>
      <c r="M4" s="6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8" t="n"/>
      <c r="AI4" s="8" t="n"/>
      <c r="AJ4" s="8" t="n"/>
      <c r="AK4" s="8" t="n"/>
      <c r="AL4" s="9" t="n"/>
      <c r="AM4" s="9" t="n"/>
      <c r="AN4" s="10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2" t="n"/>
      <c r="BJ4" s="12" t="n"/>
      <c r="BK4" s="12" t="n"/>
      <c r="BL4" s="12" t="n"/>
      <c r="BM4" s="13" t="n"/>
      <c r="BN4" s="13" t="n"/>
      <c r="BO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5" t="n"/>
      <c r="L5" s="5" t="n"/>
      <c r="M5" s="6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8" t="n"/>
      <c r="AI5" s="8" t="n"/>
      <c r="AJ5" s="8" t="n"/>
      <c r="AK5" s="8" t="n"/>
      <c r="AL5" s="9" t="n"/>
      <c r="AM5" s="9" t="n"/>
      <c r="AN5" s="10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  <c r="AZ5" s="11" t="n"/>
      <c r="BA5" s="11" t="n"/>
      <c r="BB5" s="11" t="n"/>
      <c r="BC5" s="11" t="n"/>
      <c r="BD5" s="11" t="n"/>
      <c r="BE5" s="11" t="n"/>
      <c r="BF5" s="11" t="n"/>
      <c r="BG5" s="11" t="n"/>
      <c r="BH5" s="11" t="n"/>
      <c r="BI5" s="12" t="n"/>
      <c r="BJ5" s="12" t="n"/>
      <c r="BK5" s="12" t="n"/>
      <c r="BL5" s="12" t="n"/>
      <c r="BM5" s="13" t="n"/>
      <c r="BN5" s="13" t="n"/>
      <c r="B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5" t="n"/>
      <c r="L6" s="5" t="n"/>
      <c r="M6" s="6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8" t="n"/>
      <c r="AI6" s="8" t="n"/>
      <c r="AJ6" s="8" t="n"/>
      <c r="AK6" s="8" t="n"/>
      <c r="AL6" s="9" t="n"/>
      <c r="AM6" s="9" t="n"/>
      <c r="AN6" s="10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AZ6" s="11" t="n"/>
      <c r="BA6" s="11" t="n"/>
      <c r="BB6" s="11" t="n"/>
      <c r="BC6" s="11" t="n"/>
      <c r="BD6" s="11" t="n"/>
      <c r="BE6" s="11" t="n"/>
      <c r="BF6" s="11" t="n"/>
      <c r="BG6" s="11" t="n"/>
      <c r="BH6" s="11" t="n"/>
      <c r="BI6" s="12" t="n"/>
      <c r="BJ6" s="12" t="n"/>
      <c r="BK6" s="12" t="n"/>
      <c r="BL6" s="12" t="n"/>
      <c r="BM6" s="13" t="n"/>
      <c r="BN6" s="13" t="n"/>
      <c r="B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5" t="n"/>
      <c r="L7" s="5" t="n"/>
      <c r="M7" s="6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8" t="n"/>
      <c r="AI7" s="8" t="n"/>
      <c r="AJ7" s="8" t="n"/>
      <c r="AK7" s="8" t="n"/>
      <c r="AL7" s="9" t="n"/>
      <c r="AM7" s="9" t="n"/>
      <c r="AN7" s="10" t="n"/>
      <c r="AO7" s="11" t="n"/>
      <c r="AP7" s="11" t="n"/>
      <c r="AQ7" s="11" t="n"/>
      <c r="AR7" s="11" t="n"/>
      <c r="AS7" s="11" t="n"/>
      <c r="AT7" s="11" t="n"/>
      <c r="AU7" s="11" t="n"/>
      <c r="AV7" s="11" t="n"/>
      <c r="AW7" s="11" t="n"/>
      <c r="AX7" s="11" t="n"/>
      <c r="AY7" s="11" t="n"/>
      <c r="AZ7" s="11" t="n"/>
      <c r="BA7" s="11" t="n"/>
      <c r="BB7" s="11" t="n"/>
      <c r="BC7" s="11" t="n"/>
      <c r="BD7" s="11" t="n"/>
      <c r="BE7" s="11" t="n"/>
      <c r="BF7" s="11" t="n"/>
      <c r="BG7" s="11" t="n"/>
      <c r="BH7" s="11" t="n"/>
      <c r="BI7" s="12" t="n"/>
      <c r="BJ7" s="12" t="n"/>
      <c r="BK7" s="12" t="n"/>
      <c r="BL7" s="12" t="n"/>
      <c r="BM7" s="13" t="n"/>
      <c r="BN7" s="13" t="n"/>
      <c r="B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5" t="n"/>
      <c r="L8" s="5" t="n"/>
      <c r="M8" s="6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8" t="n"/>
      <c r="AI8" s="8" t="n"/>
      <c r="AJ8" s="8" t="n"/>
      <c r="AK8" s="8" t="n"/>
      <c r="AL8" s="9" t="n"/>
      <c r="AM8" s="9" t="n"/>
      <c r="AN8" s="10" t="n"/>
      <c r="AO8" s="11" t="n"/>
      <c r="AP8" s="11" t="n"/>
      <c r="AQ8" s="11" t="n"/>
      <c r="AR8" s="11" t="n"/>
      <c r="AS8" s="11" t="n"/>
      <c r="AT8" s="11" t="n"/>
      <c r="AU8" s="11" t="n"/>
      <c r="AV8" s="11" t="n"/>
      <c r="AW8" s="11" t="n"/>
      <c r="AX8" s="11" t="n"/>
      <c r="AY8" s="11" t="n"/>
      <c r="AZ8" s="11" t="n"/>
      <c r="BA8" s="11" t="n"/>
      <c r="BB8" s="11" t="n"/>
      <c r="BC8" s="11" t="n"/>
      <c r="BD8" s="11" t="n"/>
      <c r="BE8" s="11" t="n"/>
      <c r="BF8" s="11" t="n"/>
      <c r="BG8" s="11" t="n"/>
      <c r="BH8" s="11" t="n"/>
      <c r="BI8" s="12" t="n"/>
      <c r="BJ8" s="12" t="n"/>
      <c r="BK8" s="12" t="n"/>
      <c r="BL8" s="12" t="n"/>
      <c r="BM8" s="13" t="n"/>
      <c r="BN8" s="13" t="n"/>
      <c r="B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5" t="n"/>
      <c r="L9" s="5" t="n"/>
      <c r="M9" s="6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8" t="n"/>
      <c r="AI9" s="8" t="n"/>
      <c r="AJ9" s="8" t="n"/>
      <c r="AK9" s="8" t="n"/>
      <c r="AL9" s="9" t="n"/>
      <c r="AM9" s="9" t="n"/>
      <c r="AN9" s="10" t="n"/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1" t="n"/>
      <c r="BD9" s="11" t="n"/>
      <c r="BE9" s="11" t="n"/>
      <c r="BF9" s="11" t="n"/>
      <c r="BG9" s="11" t="n"/>
      <c r="BH9" s="11" t="n"/>
      <c r="BI9" s="12" t="n"/>
      <c r="BJ9" s="12" t="n"/>
      <c r="BK9" s="12" t="n"/>
      <c r="BL9" s="12" t="n"/>
      <c r="BM9" s="13" t="n"/>
      <c r="BN9" s="13" t="n"/>
      <c r="B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5" t="n"/>
      <c r="L10" s="5" t="n"/>
      <c r="M10" s="6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8" t="n"/>
      <c r="AI10" s="8" t="n"/>
      <c r="AJ10" s="8" t="n"/>
      <c r="AK10" s="8" t="n"/>
      <c r="AL10" s="9" t="n"/>
      <c r="AM10" s="9" t="n"/>
      <c r="AN10" s="10" t="n"/>
      <c r="AO10" s="11" t="n"/>
      <c r="AP10" s="11" t="n"/>
      <c r="AQ10" s="11" t="n"/>
      <c r="AR10" s="11" t="n"/>
      <c r="AS10" s="11" t="n"/>
      <c r="AT10" s="11" t="n"/>
      <c r="AU10" s="11" t="n"/>
      <c r="AV10" s="11" t="n"/>
      <c r="AW10" s="11" t="n"/>
      <c r="AX10" s="11" t="n"/>
      <c r="AY10" s="11" t="n"/>
      <c r="AZ10" s="11" t="n"/>
      <c r="BA10" s="11" t="n"/>
      <c r="BB10" s="11" t="n"/>
      <c r="BC10" s="11" t="n"/>
      <c r="BD10" s="11" t="n"/>
      <c r="BE10" s="11" t="n"/>
      <c r="BF10" s="11" t="n"/>
      <c r="BG10" s="11" t="n"/>
      <c r="BH10" s="11" t="n"/>
      <c r="BI10" s="12" t="n"/>
      <c r="BJ10" s="12" t="n"/>
      <c r="BK10" s="12" t="n"/>
      <c r="BL10" s="12" t="n"/>
      <c r="BM10" s="13" t="n"/>
      <c r="BN10" s="13" t="n"/>
      <c r="B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5" t="n"/>
      <c r="L11" s="5" t="n"/>
      <c r="M11" s="6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8" t="n"/>
      <c r="AI11" s="8" t="n"/>
      <c r="AJ11" s="8" t="n"/>
      <c r="AK11" s="8" t="n"/>
      <c r="AL11" s="9" t="n"/>
      <c r="AM11" s="9" t="n"/>
      <c r="AN11" s="10" t="n"/>
      <c r="AO11" s="11" t="n"/>
      <c r="AP11" s="11" t="n"/>
      <c r="AQ11" s="11" t="n"/>
      <c r="AR11" s="11" t="n"/>
      <c r="AS11" s="11" t="n"/>
      <c r="AT11" s="11" t="n"/>
      <c r="AU11" s="11" t="n"/>
      <c r="AV11" s="11" t="n"/>
      <c r="AW11" s="11" t="n"/>
      <c r="AX11" s="11" t="n"/>
      <c r="AY11" s="11" t="n"/>
      <c r="AZ11" s="11" t="n"/>
      <c r="BA11" s="11" t="n"/>
      <c r="BB11" s="11" t="n"/>
      <c r="BC11" s="11" t="n"/>
      <c r="BD11" s="11" t="n"/>
      <c r="BE11" s="11" t="n"/>
      <c r="BF11" s="11" t="n"/>
      <c r="BG11" s="11" t="n"/>
      <c r="BH11" s="11" t="n"/>
      <c r="BI11" s="12" t="n"/>
      <c r="BJ11" s="12" t="n"/>
      <c r="BK11" s="12" t="n"/>
      <c r="BL11" s="12" t="n"/>
      <c r="BM11" s="13" t="n"/>
      <c r="BN11" s="13" t="n"/>
      <c r="B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5" t="n"/>
      <c r="L12" s="5" t="n"/>
      <c r="M12" s="6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8" t="n"/>
      <c r="AI12" s="8" t="n"/>
      <c r="AJ12" s="8" t="n"/>
      <c r="AK12" s="8" t="n"/>
      <c r="AL12" s="9" t="n"/>
      <c r="AM12" s="9" t="n"/>
      <c r="AN12" s="10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2" t="n"/>
      <c r="BJ12" s="12" t="n"/>
      <c r="BK12" s="12" t="n"/>
      <c r="BL12" s="12" t="n"/>
      <c r="BM12" s="13" t="n"/>
      <c r="BN12" s="13" t="n"/>
      <c r="B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5" t="n"/>
      <c r="L13" s="5" t="n"/>
      <c r="M13" s="6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8" t="n"/>
      <c r="AI13" s="8" t="n"/>
      <c r="AJ13" s="8" t="n"/>
      <c r="AK13" s="8" t="n"/>
      <c r="AL13" s="9" t="n"/>
      <c r="AM13" s="9" t="n"/>
      <c r="AN13" s="10" t="n"/>
      <c r="AO13" s="11" t="n"/>
      <c r="AP13" s="11" t="n"/>
      <c r="AQ13" s="11" t="n"/>
      <c r="AR13" s="11" t="n"/>
      <c r="AS13" s="11" t="n"/>
      <c r="AT13" s="11" t="n"/>
      <c r="AU13" s="11" t="n"/>
      <c r="AV13" s="11" t="n"/>
      <c r="AW13" s="11" t="n"/>
      <c r="AX13" s="11" t="n"/>
      <c r="AY13" s="11" t="n"/>
      <c r="AZ13" s="11" t="n"/>
      <c r="BA13" s="11" t="n"/>
      <c r="BB13" s="11" t="n"/>
      <c r="BC13" s="11" t="n"/>
      <c r="BD13" s="11" t="n"/>
      <c r="BE13" s="11" t="n"/>
      <c r="BF13" s="11" t="n"/>
      <c r="BG13" s="11" t="n"/>
      <c r="BH13" s="11" t="n"/>
      <c r="BI13" s="12" t="n"/>
      <c r="BJ13" s="12" t="n"/>
      <c r="BK13" s="12" t="n"/>
      <c r="BL13" s="12" t="n"/>
      <c r="BM13" s="13" t="n"/>
      <c r="BN13" s="13" t="n"/>
      <c r="B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5" t="n"/>
      <c r="L14" s="5" t="n"/>
      <c r="M14" s="6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8" t="n"/>
      <c r="AI14" s="8" t="n"/>
      <c r="AJ14" s="8" t="n"/>
      <c r="AK14" s="8" t="n"/>
      <c r="AL14" s="9" t="n"/>
      <c r="AM14" s="9" t="n"/>
      <c r="AN14" s="10" t="n"/>
      <c r="AO14" s="11" t="n"/>
      <c r="AP14" s="11" t="n"/>
      <c r="AQ14" s="11" t="n"/>
      <c r="AR14" s="11" t="n"/>
      <c r="AS14" s="11" t="n"/>
      <c r="AT14" s="11" t="n"/>
      <c r="AU14" s="11" t="n"/>
      <c r="AV14" s="11" t="n"/>
      <c r="AW14" s="11" t="n"/>
      <c r="AX14" s="11" t="n"/>
      <c r="AY14" s="11" t="n"/>
      <c r="AZ14" s="11" t="n"/>
      <c r="BA14" s="11" t="n"/>
      <c r="BB14" s="11" t="n"/>
      <c r="BC14" s="11" t="n"/>
      <c r="BD14" s="11" t="n"/>
      <c r="BE14" s="11" t="n"/>
      <c r="BF14" s="11" t="n"/>
      <c r="BG14" s="11" t="n"/>
      <c r="BH14" s="11" t="n"/>
      <c r="BI14" s="12" t="n"/>
      <c r="BJ14" s="12" t="n"/>
      <c r="BK14" s="12" t="n"/>
      <c r="BL14" s="12" t="n"/>
      <c r="BM14" s="13" t="n"/>
      <c r="BN14" s="13" t="n"/>
      <c r="B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5" t="n"/>
      <c r="L15" s="5" t="n"/>
      <c r="M15" s="6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8" t="n"/>
      <c r="AI15" s="8" t="n"/>
      <c r="AJ15" s="8" t="n"/>
      <c r="AK15" s="8" t="n"/>
      <c r="AL15" s="9" t="n"/>
      <c r="AM15" s="9" t="n"/>
      <c r="AN15" s="10" t="n"/>
      <c r="AO15" s="11" t="n"/>
      <c r="AP15" s="11" t="n"/>
      <c r="AQ15" s="11" t="n"/>
      <c r="AR15" s="11" t="n"/>
      <c r="AS15" s="11" t="n"/>
      <c r="AT15" s="11" t="n"/>
      <c r="AU15" s="11" t="n"/>
      <c r="AV15" s="11" t="n"/>
      <c r="AW15" s="11" t="n"/>
      <c r="AX15" s="11" t="n"/>
      <c r="AY15" s="11" t="n"/>
      <c r="AZ15" s="11" t="n"/>
      <c r="BA15" s="11" t="n"/>
      <c r="BB15" s="11" t="n"/>
      <c r="BC15" s="11" t="n"/>
      <c r="BD15" s="11" t="n"/>
      <c r="BE15" s="11" t="n"/>
      <c r="BF15" s="11" t="n"/>
      <c r="BG15" s="11" t="n"/>
      <c r="BH15" s="11" t="n"/>
      <c r="BI15" s="12" t="n"/>
      <c r="BJ15" s="12" t="n"/>
      <c r="BK15" s="12" t="n"/>
      <c r="BL15" s="12" t="n"/>
      <c r="BM15" s="13" t="n"/>
      <c r="BN15" s="13" t="n"/>
      <c r="B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5" t="n"/>
      <c r="L16" s="5" t="n"/>
      <c r="M16" s="6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8" t="n"/>
      <c r="AI16" s="8" t="n"/>
      <c r="AJ16" s="8" t="n"/>
      <c r="AK16" s="8" t="n"/>
      <c r="AL16" s="9" t="n"/>
      <c r="AM16" s="9" t="n"/>
      <c r="AN16" s="10" t="n"/>
      <c r="AO16" s="11" t="n"/>
      <c r="AP16" s="11" t="n"/>
      <c r="AQ16" s="11" t="n"/>
      <c r="AR16" s="11" t="n"/>
      <c r="AS16" s="11" t="n"/>
      <c r="AT16" s="11" t="n"/>
      <c r="AU16" s="11" t="n"/>
      <c r="AV16" s="11" t="n"/>
      <c r="AW16" s="11" t="n"/>
      <c r="AX16" s="11" t="n"/>
      <c r="AY16" s="11" t="n"/>
      <c r="AZ16" s="11" t="n"/>
      <c r="BA16" s="11" t="n"/>
      <c r="BB16" s="11" t="n"/>
      <c r="BC16" s="11" t="n"/>
      <c r="BD16" s="11" t="n"/>
      <c r="BE16" s="11" t="n"/>
      <c r="BF16" s="11" t="n"/>
      <c r="BG16" s="11" t="n"/>
      <c r="BH16" s="11" t="n"/>
      <c r="BI16" s="12" t="n"/>
      <c r="BJ16" s="12" t="n"/>
      <c r="BK16" s="12" t="n"/>
      <c r="BL16" s="12" t="n"/>
      <c r="BM16" s="13" t="n"/>
      <c r="BN16" s="13" t="n"/>
      <c r="B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5" t="n"/>
      <c r="L17" s="5" t="n"/>
      <c r="M17" s="6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8" t="n"/>
      <c r="AI17" s="8" t="n"/>
      <c r="AJ17" s="8" t="n"/>
      <c r="AK17" s="8" t="n"/>
      <c r="AL17" s="9" t="n"/>
      <c r="AM17" s="9" t="n"/>
      <c r="AN17" s="10" t="n"/>
      <c r="AO17" s="11" t="n"/>
      <c r="AP17" s="11" t="n"/>
      <c r="AQ17" s="11" t="n"/>
      <c r="AR17" s="11" t="n"/>
      <c r="AS17" s="11" t="n"/>
      <c r="AT17" s="11" t="n"/>
      <c r="AU17" s="11" t="n"/>
      <c r="AV17" s="11" t="n"/>
      <c r="AW17" s="11" t="n"/>
      <c r="AX17" s="11" t="n"/>
      <c r="AY17" s="11" t="n"/>
      <c r="AZ17" s="11" t="n"/>
      <c r="BA17" s="11" t="n"/>
      <c r="BB17" s="11" t="n"/>
      <c r="BC17" s="11" t="n"/>
      <c r="BD17" s="11" t="n"/>
      <c r="BE17" s="11" t="n"/>
      <c r="BF17" s="11" t="n"/>
      <c r="BG17" s="11" t="n"/>
      <c r="BH17" s="11" t="n"/>
      <c r="BI17" s="12" t="n"/>
      <c r="BJ17" s="12" t="n"/>
      <c r="BK17" s="12" t="n"/>
      <c r="BL17" s="12" t="n"/>
      <c r="BM17" s="13" t="n"/>
      <c r="BN17" s="13" t="n"/>
      <c r="B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5" t="n"/>
      <c r="L18" s="5" t="n"/>
      <c r="M18" s="6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8" t="n"/>
      <c r="AI18" s="8" t="n"/>
      <c r="AJ18" s="8" t="n"/>
      <c r="AK18" s="8" t="n"/>
      <c r="AL18" s="9" t="n"/>
      <c r="AM18" s="9" t="n"/>
      <c r="AN18" s="10" t="n"/>
      <c r="AO18" s="11" t="n"/>
      <c r="AP18" s="11" t="n"/>
      <c r="AQ18" s="11" t="n"/>
      <c r="AR18" s="11" t="n"/>
      <c r="AS18" s="11" t="n"/>
      <c r="AT18" s="11" t="n"/>
      <c r="AU18" s="11" t="n"/>
      <c r="AV18" s="11" t="n"/>
      <c r="AW18" s="11" t="n"/>
      <c r="AX18" s="11" t="n"/>
      <c r="AY18" s="11" t="n"/>
      <c r="AZ18" s="11" t="n"/>
      <c r="BA18" s="11" t="n"/>
      <c r="BB18" s="11" t="n"/>
      <c r="BC18" s="11" t="n"/>
      <c r="BD18" s="11" t="n"/>
      <c r="BE18" s="11" t="n"/>
      <c r="BF18" s="11" t="n"/>
      <c r="BG18" s="11" t="n"/>
      <c r="BH18" s="11" t="n"/>
      <c r="BI18" s="12" t="n"/>
      <c r="BJ18" s="12" t="n"/>
      <c r="BK18" s="12" t="n"/>
      <c r="BL18" s="12" t="n"/>
      <c r="BM18" s="13" t="n"/>
      <c r="BN18" s="13" t="n"/>
      <c r="B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5" t="n"/>
      <c r="L19" s="5" t="n"/>
      <c r="M19" s="6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8" t="n"/>
      <c r="AI19" s="8" t="n"/>
      <c r="AJ19" s="8" t="n"/>
      <c r="AK19" s="8" t="n"/>
      <c r="AL19" s="9" t="n"/>
      <c r="AM19" s="9" t="n"/>
      <c r="AN19" s="10" t="n"/>
      <c r="AO19" s="11" t="n"/>
      <c r="AP19" s="11" t="n"/>
      <c r="AQ19" s="11" t="n"/>
      <c r="AR19" s="11" t="n"/>
      <c r="AS19" s="11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1" t="n"/>
      <c r="BD19" s="11" t="n"/>
      <c r="BE19" s="11" t="n"/>
      <c r="BF19" s="11" t="n"/>
      <c r="BG19" s="11" t="n"/>
      <c r="BH19" s="11" t="n"/>
      <c r="BI19" s="12" t="n"/>
      <c r="BJ19" s="12" t="n"/>
      <c r="BK19" s="12" t="n"/>
      <c r="BL19" s="12" t="n"/>
      <c r="BM19" s="13" t="n"/>
      <c r="BN19" s="13" t="n"/>
      <c r="B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5" t="n"/>
      <c r="L20" s="5" t="n"/>
      <c r="M20" s="6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8" t="n"/>
      <c r="AI20" s="8" t="n"/>
      <c r="AJ20" s="8" t="n"/>
      <c r="AK20" s="8" t="n"/>
      <c r="AL20" s="9" t="n"/>
      <c r="AM20" s="9" t="n"/>
      <c r="AN20" s="10" t="n"/>
      <c r="AO20" s="11" t="n"/>
      <c r="AP20" s="11" t="n"/>
      <c r="AQ20" s="11" t="n"/>
      <c r="AR20" s="11" t="n"/>
      <c r="AS20" s="11" t="n"/>
      <c r="AT20" s="11" t="n"/>
      <c r="AU20" s="11" t="n"/>
      <c r="AV20" s="11" t="n"/>
      <c r="AW20" s="11" t="n"/>
      <c r="AX20" s="11" t="n"/>
      <c r="AY20" s="11" t="n"/>
      <c r="AZ20" s="11" t="n"/>
      <c r="BA20" s="11" t="n"/>
      <c r="BB20" s="11" t="n"/>
      <c r="BC20" s="11" t="n"/>
      <c r="BD20" s="11" t="n"/>
      <c r="BE20" s="11" t="n"/>
      <c r="BF20" s="11" t="n"/>
      <c r="BG20" s="11" t="n"/>
      <c r="BH20" s="11" t="n"/>
      <c r="BI20" s="12" t="n"/>
      <c r="BJ20" s="12" t="n"/>
      <c r="BK20" s="12" t="n"/>
      <c r="BL20" s="12" t="n"/>
      <c r="BM20" s="13" t="n"/>
      <c r="BN20" s="13" t="n"/>
      <c r="B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5" t="n"/>
      <c r="L21" s="5" t="n"/>
      <c r="M21" s="6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8" t="n"/>
      <c r="AI21" s="8" t="n"/>
      <c r="AJ21" s="8" t="n"/>
      <c r="AK21" s="8" t="n"/>
      <c r="AL21" s="9" t="n"/>
      <c r="AM21" s="9" t="n"/>
      <c r="AN21" s="10" t="n"/>
      <c r="AO21" s="11" t="n"/>
      <c r="AP21" s="11" t="n"/>
      <c r="AQ21" s="11" t="n"/>
      <c r="AR21" s="11" t="n"/>
      <c r="AS21" s="11" t="n"/>
      <c r="AT21" s="11" t="n"/>
      <c r="AU21" s="11" t="n"/>
      <c r="AV21" s="11" t="n"/>
      <c r="AW21" s="11" t="n"/>
      <c r="AX21" s="11" t="n"/>
      <c r="AY21" s="11" t="n"/>
      <c r="AZ21" s="11" t="n"/>
      <c r="BA21" s="11" t="n"/>
      <c r="BB21" s="11" t="n"/>
      <c r="BC21" s="11" t="n"/>
      <c r="BD21" s="11" t="n"/>
      <c r="BE21" s="11" t="n"/>
      <c r="BF21" s="11" t="n"/>
      <c r="BG21" s="11" t="n"/>
      <c r="BH21" s="11" t="n"/>
      <c r="BI21" s="12" t="n"/>
      <c r="BJ21" s="12" t="n"/>
      <c r="BK21" s="12" t="n"/>
      <c r="BL21" s="12" t="n"/>
      <c r="BM21" s="13" t="n"/>
      <c r="BN21" s="13" t="n"/>
      <c r="B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5" t="n"/>
      <c r="L22" s="5" t="n"/>
      <c r="M22" s="6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8" t="n"/>
      <c r="AI22" s="8" t="n"/>
      <c r="AJ22" s="8" t="n"/>
      <c r="AK22" s="8" t="n"/>
      <c r="AL22" s="9" t="n"/>
      <c r="AM22" s="9" t="n"/>
      <c r="AN22" s="10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  <c r="AZ22" s="11" t="n"/>
      <c r="BA22" s="11" t="n"/>
      <c r="BB22" s="11" t="n"/>
      <c r="BC22" s="11" t="n"/>
      <c r="BD22" s="11" t="n"/>
      <c r="BE22" s="11" t="n"/>
      <c r="BF22" s="11" t="n"/>
      <c r="BG22" s="11" t="n"/>
      <c r="BH22" s="11" t="n"/>
      <c r="BI22" s="12" t="n"/>
      <c r="BJ22" s="12" t="n"/>
      <c r="BK22" s="12" t="n"/>
      <c r="BL22" s="12" t="n"/>
      <c r="BM22" s="13" t="n"/>
      <c r="BN22" s="13" t="n"/>
      <c r="B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5" t="n"/>
      <c r="L23" s="5" t="n"/>
      <c r="M23" s="6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8" t="n"/>
      <c r="AI23" s="8" t="n"/>
      <c r="AJ23" s="8" t="n"/>
      <c r="AK23" s="8" t="n"/>
      <c r="AL23" s="9" t="n"/>
      <c r="AM23" s="9" t="n"/>
      <c r="AN23" s="10" t="n"/>
      <c r="AO23" s="11" t="n"/>
      <c r="AP23" s="11" t="n"/>
      <c r="AQ23" s="11" t="n"/>
      <c r="AR23" s="11" t="n"/>
      <c r="AS23" s="11" t="n"/>
      <c r="AT23" s="11" t="n"/>
      <c r="AU23" s="11" t="n"/>
      <c r="AV23" s="11" t="n"/>
      <c r="AW23" s="11" t="n"/>
      <c r="AX23" s="11" t="n"/>
      <c r="AY23" s="11" t="n"/>
      <c r="AZ23" s="11" t="n"/>
      <c r="BA23" s="11" t="n"/>
      <c r="BB23" s="11" t="n"/>
      <c r="BC23" s="11" t="n"/>
      <c r="BD23" s="11" t="n"/>
      <c r="BE23" s="11" t="n"/>
      <c r="BF23" s="11" t="n"/>
      <c r="BG23" s="11" t="n"/>
      <c r="BH23" s="11" t="n"/>
      <c r="BI23" s="12" t="n"/>
      <c r="BJ23" s="12" t="n"/>
      <c r="BK23" s="12" t="n"/>
      <c r="BL23" s="12" t="n"/>
      <c r="BM23" s="13" t="n"/>
      <c r="BN23" s="13" t="n"/>
      <c r="B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5" t="n"/>
      <c r="L24" s="5" t="n"/>
      <c r="M24" s="6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8" t="n"/>
      <c r="AI24" s="8" t="n"/>
      <c r="AJ24" s="8" t="n"/>
      <c r="AK24" s="8" t="n"/>
      <c r="AL24" s="9" t="n"/>
      <c r="AM24" s="9" t="n"/>
      <c r="AN24" s="10" t="n"/>
      <c r="AO24" s="11" t="n"/>
      <c r="AP24" s="11" t="n"/>
      <c r="AQ24" s="11" t="n"/>
      <c r="AR24" s="11" t="n"/>
      <c r="AS24" s="11" t="n"/>
      <c r="AT24" s="11" t="n"/>
      <c r="AU24" s="11" t="n"/>
      <c r="AV24" s="11" t="n"/>
      <c r="AW24" s="11" t="n"/>
      <c r="AX24" s="11" t="n"/>
      <c r="AY24" s="11" t="n"/>
      <c r="AZ24" s="11" t="n"/>
      <c r="BA24" s="11" t="n"/>
      <c r="BB24" s="11" t="n"/>
      <c r="BC24" s="11" t="n"/>
      <c r="BD24" s="11" t="n"/>
      <c r="BE24" s="11" t="n"/>
      <c r="BF24" s="11" t="n"/>
      <c r="BG24" s="11" t="n"/>
      <c r="BH24" s="11" t="n"/>
      <c r="BI24" s="12" t="n"/>
      <c r="BJ24" s="12" t="n"/>
      <c r="BK24" s="12" t="n"/>
      <c r="BL24" s="12" t="n"/>
      <c r="BM24" s="13" t="n"/>
      <c r="BN24" s="13" t="n"/>
      <c r="B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5" t="n"/>
      <c r="L25" s="5" t="n"/>
      <c r="M25" s="6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8" t="n"/>
      <c r="AI25" s="8" t="n"/>
      <c r="AJ25" s="8" t="n"/>
      <c r="AK25" s="8" t="n"/>
      <c r="AL25" s="9" t="n"/>
      <c r="AM25" s="9" t="n"/>
      <c r="AN25" s="10" t="n"/>
      <c r="AO25" s="11" t="n"/>
      <c r="AP25" s="11" t="n"/>
      <c r="AQ25" s="11" t="n"/>
      <c r="AR25" s="11" t="n"/>
      <c r="AS25" s="11" t="n"/>
      <c r="AT25" s="11" t="n"/>
      <c r="AU25" s="11" t="n"/>
      <c r="AV25" s="11" t="n"/>
      <c r="AW25" s="11" t="n"/>
      <c r="AX25" s="11" t="n"/>
      <c r="AY25" s="11" t="n"/>
      <c r="AZ25" s="11" t="n"/>
      <c r="BA25" s="11" t="n"/>
      <c r="BB25" s="11" t="n"/>
      <c r="BC25" s="11" t="n"/>
      <c r="BD25" s="11" t="n"/>
      <c r="BE25" s="11" t="n"/>
      <c r="BF25" s="11" t="n"/>
      <c r="BG25" s="11" t="n"/>
      <c r="BH25" s="11" t="n"/>
      <c r="BI25" s="12" t="n"/>
      <c r="BJ25" s="12" t="n"/>
      <c r="BK25" s="12" t="n"/>
      <c r="BL25" s="12" t="n"/>
      <c r="BM25" s="13" t="n"/>
      <c r="BN25" s="13" t="n"/>
      <c r="B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5" t="n"/>
      <c r="L26" s="5" t="n"/>
      <c r="M26" s="6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8" t="n"/>
      <c r="AI26" s="8" t="n"/>
      <c r="AJ26" s="8" t="n"/>
      <c r="AK26" s="8" t="n"/>
      <c r="AL26" s="9" t="n"/>
      <c r="AM26" s="9" t="n"/>
      <c r="AN26" s="10" t="n"/>
      <c r="AO26" s="11" t="n"/>
      <c r="AP26" s="11" t="n"/>
      <c r="AQ26" s="11" t="n"/>
      <c r="AR26" s="11" t="n"/>
      <c r="AS26" s="11" t="n"/>
      <c r="AT26" s="11" t="n"/>
      <c r="AU26" s="11" t="n"/>
      <c r="AV26" s="11" t="n"/>
      <c r="AW26" s="11" t="n"/>
      <c r="AX26" s="11" t="n"/>
      <c r="AY26" s="11" t="n"/>
      <c r="AZ26" s="11" t="n"/>
      <c r="BA26" s="11" t="n"/>
      <c r="BB26" s="11" t="n"/>
      <c r="BC26" s="11" t="n"/>
      <c r="BD26" s="11" t="n"/>
      <c r="BE26" s="11" t="n"/>
      <c r="BF26" s="11" t="n"/>
      <c r="BG26" s="11" t="n"/>
      <c r="BH26" s="11" t="n"/>
      <c r="BI26" s="12" t="n"/>
      <c r="BJ26" s="12" t="n"/>
      <c r="BK26" s="12" t="n"/>
      <c r="BL26" s="12" t="n"/>
      <c r="BM26" s="13" t="n"/>
      <c r="BN26" s="13" t="n"/>
      <c r="B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5" t="n"/>
      <c r="L27" s="5" t="n"/>
      <c r="M27" s="6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8" t="n"/>
      <c r="AI27" s="8" t="n"/>
      <c r="AJ27" s="8" t="n"/>
      <c r="AK27" s="8" t="n"/>
      <c r="AL27" s="9" t="n"/>
      <c r="AM27" s="9" t="n"/>
      <c r="AN27" s="10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  <c r="AZ27" s="11" t="n"/>
      <c r="BA27" s="11" t="n"/>
      <c r="BB27" s="11" t="n"/>
      <c r="BC27" s="11" t="n"/>
      <c r="BD27" s="11" t="n"/>
      <c r="BE27" s="11" t="n"/>
      <c r="BF27" s="11" t="n"/>
      <c r="BG27" s="11" t="n"/>
      <c r="BH27" s="11" t="n"/>
      <c r="BI27" s="12" t="n"/>
      <c r="BJ27" s="12" t="n"/>
      <c r="BK27" s="12" t="n"/>
      <c r="BL27" s="12" t="n"/>
      <c r="BM27" s="13" t="n"/>
      <c r="BN27" s="13" t="n"/>
      <c r="B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5" t="n"/>
      <c r="L28" s="5" t="n"/>
      <c r="M28" s="6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8" t="n"/>
      <c r="AI28" s="8" t="n"/>
      <c r="AJ28" s="8" t="n"/>
      <c r="AK28" s="8" t="n"/>
      <c r="AL28" s="9" t="n"/>
      <c r="AM28" s="9" t="n"/>
      <c r="AN28" s="10" t="n"/>
      <c r="AO28" s="11" t="n"/>
      <c r="AP28" s="11" t="n"/>
      <c r="AQ28" s="11" t="n"/>
      <c r="AR28" s="11" t="n"/>
      <c r="AS28" s="11" t="n"/>
      <c r="AT28" s="11" t="n"/>
      <c r="AU28" s="11" t="n"/>
      <c r="AV28" s="11" t="n"/>
      <c r="AW28" s="11" t="n"/>
      <c r="AX28" s="11" t="n"/>
      <c r="AY28" s="11" t="n"/>
      <c r="AZ28" s="11" t="n"/>
      <c r="BA28" s="11" t="n"/>
      <c r="BB28" s="11" t="n"/>
      <c r="BC28" s="11" t="n"/>
      <c r="BD28" s="11" t="n"/>
      <c r="BE28" s="11" t="n"/>
      <c r="BF28" s="11" t="n"/>
      <c r="BG28" s="11" t="n"/>
      <c r="BH28" s="11" t="n"/>
      <c r="BI28" s="12" t="n"/>
      <c r="BJ28" s="12" t="n"/>
      <c r="BK28" s="12" t="n"/>
      <c r="BL28" s="12" t="n"/>
      <c r="BM28" s="13" t="n"/>
      <c r="BN28" s="13" t="n"/>
      <c r="B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5" t="n"/>
      <c r="L29" s="5" t="n"/>
      <c r="M29" s="6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8" t="n"/>
      <c r="AI29" s="8" t="n"/>
      <c r="AJ29" s="8" t="n"/>
      <c r="AK29" s="8" t="n"/>
      <c r="AL29" s="9" t="n"/>
      <c r="AM29" s="9" t="n"/>
      <c r="AN29" s="10" t="n"/>
      <c r="AO29" s="11" t="n"/>
      <c r="AP29" s="11" t="n"/>
      <c r="AQ29" s="11" t="n"/>
      <c r="AR29" s="11" t="n"/>
      <c r="AS29" s="11" t="n"/>
      <c r="AT29" s="11" t="n"/>
      <c r="AU29" s="11" t="n"/>
      <c r="AV29" s="11" t="n"/>
      <c r="AW29" s="11" t="n"/>
      <c r="AX29" s="11" t="n"/>
      <c r="AY29" s="11" t="n"/>
      <c r="AZ29" s="11" t="n"/>
      <c r="BA29" s="11" t="n"/>
      <c r="BB29" s="11" t="n"/>
      <c r="BC29" s="11" t="n"/>
      <c r="BD29" s="11" t="n"/>
      <c r="BE29" s="11" t="n"/>
      <c r="BF29" s="11" t="n"/>
      <c r="BG29" s="11" t="n"/>
      <c r="BH29" s="11" t="n"/>
      <c r="BI29" s="12" t="n"/>
      <c r="BJ29" s="12" t="n"/>
      <c r="BK29" s="12" t="n"/>
      <c r="BL29" s="12" t="n"/>
      <c r="BM29" s="13" t="n"/>
      <c r="BN29" s="13" t="n"/>
      <c r="B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5" t="n"/>
      <c r="L30" s="5" t="n"/>
      <c r="M30" s="6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8" t="n"/>
      <c r="AI30" s="8" t="n"/>
      <c r="AJ30" s="8" t="n"/>
      <c r="AK30" s="8" t="n"/>
      <c r="AL30" s="9" t="n"/>
      <c r="AM30" s="9" t="n"/>
      <c r="AN30" s="10" t="n"/>
      <c r="AO30" s="11" t="n"/>
      <c r="AP30" s="11" t="n"/>
      <c r="AQ30" s="11" t="n"/>
      <c r="AR30" s="11" t="n"/>
      <c r="AS30" s="11" t="n"/>
      <c r="AT30" s="11" t="n"/>
      <c r="AU30" s="11" t="n"/>
      <c r="AV30" s="11" t="n"/>
      <c r="AW30" s="11" t="n"/>
      <c r="AX30" s="11" t="n"/>
      <c r="AY30" s="11" t="n"/>
      <c r="AZ30" s="11" t="n"/>
      <c r="BA30" s="11" t="n"/>
      <c r="BB30" s="11" t="n"/>
      <c r="BC30" s="11" t="n"/>
      <c r="BD30" s="11" t="n"/>
      <c r="BE30" s="11" t="n"/>
      <c r="BF30" s="11" t="n"/>
      <c r="BG30" s="11" t="n"/>
      <c r="BH30" s="11" t="n"/>
      <c r="BI30" s="12" t="n"/>
      <c r="BJ30" s="12" t="n"/>
      <c r="BK30" s="12" t="n"/>
      <c r="BL30" s="12" t="n"/>
      <c r="BM30" s="13" t="n"/>
      <c r="BN30" s="13" t="n"/>
      <c r="B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5" t="n"/>
      <c r="L31" s="5" t="n"/>
      <c r="M31" s="6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8" t="n"/>
      <c r="AI31" s="8" t="n"/>
      <c r="AJ31" s="8" t="n"/>
      <c r="AK31" s="8" t="n"/>
      <c r="AL31" s="9" t="n"/>
      <c r="AM31" s="9" t="n"/>
      <c r="AN31" s="10" t="n"/>
      <c r="AO31" s="11" t="n"/>
      <c r="AP31" s="11" t="n"/>
      <c r="AQ31" s="11" t="n"/>
      <c r="AR31" s="11" t="n"/>
      <c r="AS31" s="11" t="n"/>
      <c r="AT31" s="11" t="n"/>
      <c r="AU31" s="11" t="n"/>
      <c r="AV31" s="11" t="n"/>
      <c r="AW31" s="11" t="n"/>
      <c r="AX31" s="11" t="n"/>
      <c r="AY31" s="11" t="n"/>
      <c r="AZ31" s="11" t="n"/>
      <c r="BA31" s="11" t="n"/>
      <c r="BB31" s="11" t="n"/>
      <c r="BC31" s="11" t="n"/>
      <c r="BD31" s="11" t="n"/>
      <c r="BE31" s="11" t="n"/>
      <c r="BF31" s="11" t="n"/>
      <c r="BG31" s="11" t="n"/>
      <c r="BH31" s="11" t="n"/>
      <c r="BI31" s="12" t="n"/>
      <c r="BJ31" s="12" t="n"/>
      <c r="BK31" s="12" t="n"/>
      <c r="BL31" s="12" t="n"/>
      <c r="BM31" s="13" t="n"/>
      <c r="BN31" s="13" t="n"/>
      <c r="B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5" t="n"/>
      <c r="L32" s="5" t="n"/>
      <c r="M32" s="6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8" t="n"/>
      <c r="AI32" s="8" t="n"/>
      <c r="AJ32" s="8" t="n"/>
      <c r="AK32" s="8" t="n"/>
      <c r="AL32" s="9" t="n"/>
      <c r="AM32" s="9" t="n"/>
      <c r="AN32" s="10" t="n"/>
      <c r="AO32" s="11" t="n"/>
      <c r="AP32" s="11" t="n"/>
      <c r="AQ32" s="11" t="n"/>
      <c r="AR32" s="11" t="n"/>
      <c r="AS32" s="11" t="n"/>
      <c r="AT32" s="11" t="n"/>
      <c r="AU32" s="11" t="n"/>
      <c r="AV32" s="11" t="n"/>
      <c r="AW32" s="11" t="n"/>
      <c r="AX32" s="11" t="n"/>
      <c r="AY32" s="11" t="n"/>
      <c r="AZ32" s="11" t="n"/>
      <c r="BA32" s="11" t="n"/>
      <c r="BB32" s="11" t="n"/>
      <c r="BC32" s="11" t="n"/>
      <c r="BD32" s="11" t="n"/>
      <c r="BE32" s="11" t="n"/>
      <c r="BF32" s="11" t="n"/>
      <c r="BG32" s="11" t="n"/>
      <c r="BH32" s="11" t="n"/>
      <c r="BI32" s="12" t="n"/>
      <c r="BJ32" s="12" t="n"/>
      <c r="BK32" s="12" t="n"/>
      <c r="BL32" s="12" t="n"/>
      <c r="BM32" s="13" t="n"/>
      <c r="BN32" s="13" t="n"/>
      <c r="B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5" t="n"/>
      <c r="L33" s="5" t="n"/>
      <c r="M33" s="6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8" t="n"/>
      <c r="AI33" s="8" t="n"/>
      <c r="AJ33" s="8" t="n"/>
      <c r="AK33" s="8" t="n"/>
      <c r="AL33" s="9" t="n"/>
      <c r="AM33" s="9" t="n"/>
      <c r="AN33" s="10" t="n"/>
      <c r="AO33" s="11" t="n"/>
      <c r="AP33" s="11" t="n"/>
      <c r="AQ33" s="11" t="n"/>
      <c r="AR33" s="11" t="n"/>
      <c r="AS33" s="11" t="n"/>
      <c r="AT33" s="11" t="n"/>
      <c r="AU33" s="11" t="n"/>
      <c r="AV33" s="11" t="n"/>
      <c r="AW33" s="11" t="n"/>
      <c r="AX33" s="11" t="n"/>
      <c r="AY33" s="11" t="n"/>
      <c r="AZ33" s="11" t="n"/>
      <c r="BA33" s="11" t="n"/>
      <c r="BB33" s="11" t="n"/>
      <c r="BC33" s="11" t="n"/>
      <c r="BD33" s="11" t="n"/>
      <c r="BE33" s="11" t="n"/>
      <c r="BF33" s="11" t="n"/>
      <c r="BG33" s="11" t="n"/>
      <c r="BH33" s="11" t="n"/>
      <c r="BI33" s="12" t="n"/>
      <c r="BJ33" s="12" t="n"/>
      <c r="BK33" s="12" t="n"/>
      <c r="BL33" s="12" t="n"/>
      <c r="BM33" s="13" t="n"/>
      <c r="BN33" s="13" t="n"/>
      <c r="B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5" t="n"/>
      <c r="L34" s="5" t="n"/>
      <c r="M34" s="6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8" t="n"/>
      <c r="AI34" s="8" t="n"/>
      <c r="AJ34" s="8" t="n"/>
      <c r="AK34" s="8" t="n"/>
      <c r="AL34" s="9" t="n"/>
      <c r="AM34" s="9" t="n"/>
      <c r="AN34" s="10" t="n"/>
      <c r="AO34" s="11" t="n"/>
      <c r="AP34" s="11" t="n"/>
      <c r="AQ34" s="11" t="n"/>
      <c r="AR34" s="11" t="n"/>
      <c r="AS34" s="11" t="n"/>
      <c r="AT34" s="11" t="n"/>
      <c r="AU34" s="11" t="n"/>
      <c r="AV34" s="11" t="n"/>
      <c r="AW34" s="11" t="n"/>
      <c r="AX34" s="11" t="n"/>
      <c r="AY34" s="11" t="n"/>
      <c r="AZ34" s="11" t="n"/>
      <c r="BA34" s="11" t="n"/>
      <c r="BB34" s="11" t="n"/>
      <c r="BC34" s="11" t="n"/>
      <c r="BD34" s="11" t="n"/>
      <c r="BE34" s="11" t="n"/>
      <c r="BF34" s="11" t="n"/>
      <c r="BG34" s="11" t="n"/>
      <c r="BH34" s="11" t="n"/>
      <c r="BI34" s="12" t="n"/>
      <c r="BJ34" s="12" t="n"/>
      <c r="BK34" s="12" t="n"/>
      <c r="BL34" s="12" t="n"/>
      <c r="BM34" s="13" t="n"/>
      <c r="BN34" s="13" t="n"/>
      <c r="B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5" t="n"/>
      <c r="L35" s="5" t="n"/>
      <c r="M35" s="6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8" t="n"/>
      <c r="AI35" s="8" t="n"/>
      <c r="AJ35" s="8" t="n"/>
      <c r="AK35" s="8" t="n"/>
      <c r="AL35" s="9" t="n"/>
      <c r="AM35" s="9" t="n"/>
      <c r="AN35" s="10" t="n"/>
      <c r="AO35" s="11" t="n"/>
      <c r="AP35" s="11" t="n"/>
      <c r="AQ35" s="11" t="n"/>
      <c r="AR35" s="11" t="n"/>
      <c r="AS35" s="11" t="n"/>
      <c r="AT35" s="11" t="n"/>
      <c r="AU35" s="11" t="n"/>
      <c r="AV35" s="11" t="n"/>
      <c r="AW35" s="11" t="n"/>
      <c r="AX35" s="11" t="n"/>
      <c r="AY35" s="11" t="n"/>
      <c r="AZ35" s="11" t="n"/>
      <c r="BA35" s="11" t="n"/>
      <c r="BB35" s="11" t="n"/>
      <c r="BC35" s="11" t="n"/>
      <c r="BD35" s="11" t="n"/>
      <c r="BE35" s="11" t="n"/>
      <c r="BF35" s="11" t="n"/>
      <c r="BG35" s="11" t="n"/>
      <c r="BH35" s="11" t="n"/>
      <c r="BI35" s="12" t="n"/>
      <c r="BJ35" s="12" t="n"/>
      <c r="BK35" s="12" t="n"/>
      <c r="BL35" s="12" t="n"/>
      <c r="BM35" s="13" t="n"/>
      <c r="BN35" s="13" t="n"/>
      <c r="B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5" t="n"/>
      <c r="L36" s="5" t="n"/>
      <c r="M36" s="6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8" t="n"/>
      <c r="AI36" s="8" t="n"/>
      <c r="AJ36" s="8" t="n"/>
      <c r="AK36" s="8" t="n"/>
      <c r="AL36" s="9" t="n"/>
      <c r="AM36" s="9" t="n"/>
      <c r="AN36" s="10" t="n"/>
      <c r="AO36" s="11" t="n"/>
      <c r="AP36" s="11" t="n"/>
      <c r="AQ36" s="11" t="n"/>
      <c r="AR36" s="11" t="n"/>
      <c r="AS36" s="11" t="n"/>
      <c r="AT36" s="11" t="n"/>
      <c r="AU36" s="11" t="n"/>
      <c r="AV36" s="11" t="n"/>
      <c r="AW36" s="11" t="n"/>
      <c r="AX36" s="11" t="n"/>
      <c r="AY36" s="11" t="n"/>
      <c r="AZ36" s="11" t="n"/>
      <c r="BA36" s="11" t="n"/>
      <c r="BB36" s="11" t="n"/>
      <c r="BC36" s="11" t="n"/>
      <c r="BD36" s="11" t="n"/>
      <c r="BE36" s="11" t="n"/>
      <c r="BF36" s="11" t="n"/>
      <c r="BG36" s="11" t="n"/>
      <c r="BH36" s="11" t="n"/>
      <c r="BI36" s="12" t="n"/>
      <c r="BJ36" s="12" t="n"/>
      <c r="BK36" s="12" t="n"/>
      <c r="BL36" s="12" t="n"/>
      <c r="BM36" s="13" t="n"/>
      <c r="BN36" s="13" t="n"/>
      <c r="B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5" t="n"/>
      <c r="L37" s="5" t="n"/>
      <c r="M37" s="6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8" t="n"/>
      <c r="AI37" s="8" t="n"/>
      <c r="AJ37" s="8" t="n"/>
      <c r="AK37" s="8" t="n"/>
      <c r="AL37" s="9" t="n"/>
      <c r="AM37" s="9" t="n"/>
      <c r="AN37" s="10" t="n"/>
      <c r="AO37" s="11" t="n"/>
      <c r="AP37" s="11" t="n"/>
      <c r="AQ37" s="11" t="n"/>
      <c r="AR37" s="11" t="n"/>
      <c r="AS37" s="11" t="n"/>
      <c r="AT37" s="11" t="n"/>
      <c r="AU37" s="11" t="n"/>
      <c r="AV37" s="11" t="n"/>
      <c r="AW37" s="11" t="n"/>
      <c r="AX37" s="11" t="n"/>
      <c r="AY37" s="11" t="n"/>
      <c r="AZ37" s="11" t="n"/>
      <c r="BA37" s="11" t="n"/>
      <c r="BB37" s="11" t="n"/>
      <c r="BC37" s="11" t="n"/>
      <c r="BD37" s="11" t="n"/>
      <c r="BE37" s="11" t="n"/>
      <c r="BF37" s="11" t="n"/>
      <c r="BG37" s="11" t="n"/>
      <c r="BH37" s="11" t="n"/>
      <c r="BI37" s="12" t="n"/>
      <c r="BJ37" s="12" t="n"/>
      <c r="BK37" s="12" t="n"/>
      <c r="BL37" s="12" t="n"/>
      <c r="BM37" s="13" t="n"/>
      <c r="BN37" s="13" t="n"/>
      <c r="B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5" t="n"/>
      <c r="L38" s="5" t="n"/>
      <c r="M38" s="6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8" t="n"/>
      <c r="AI38" s="8" t="n"/>
      <c r="AJ38" s="8" t="n"/>
      <c r="AK38" s="8" t="n"/>
      <c r="AL38" s="9" t="n"/>
      <c r="AM38" s="9" t="n"/>
      <c r="AN38" s="10" t="n"/>
      <c r="AO38" s="11" t="n"/>
      <c r="AP38" s="11" t="n"/>
      <c r="AQ38" s="11" t="n"/>
      <c r="AR38" s="11" t="n"/>
      <c r="AS38" s="11" t="n"/>
      <c r="AT38" s="11" t="n"/>
      <c r="AU38" s="11" t="n"/>
      <c r="AV38" s="11" t="n"/>
      <c r="AW38" s="11" t="n"/>
      <c r="AX38" s="11" t="n"/>
      <c r="AY38" s="11" t="n"/>
      <c r="AZ38" s="11" t="n"/>
      <c r="BA38" s="11" t="n"/>
      <c r="BB38" s="11" t="n"/>
      <c r="BC38" s="11" t="n"/>
      <c r="BD38" s="11" t="n"/>
      <c r="BE38" s="11" t="n"/>
      <c r="BF38" s="11" t="n"/>
      <c r="BG38" s="11" t="n"/>
      <c r="BH38" s="11" t="n"/>
      <c r="BI38" s="12" t="n"/>
      <c r="BJ38" s="12" t="n"/>
      <c r="BK38" s="12" t="n"/>
      <c r="BL38" s="12" t="n"/>
      <c r="BM38" s="13" t="n"/>
      <c r="BN38" s="13" t="n"/>
      <c r="B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5" t="n"/>
      <c r="L39" s="5" t="n"/>
      <c r="M39" s="6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8" t="n"/>
      <c r="AI39" s="8" t="n"/>
      <c r="AJ39" s="8" t="n"/>
      <c r="AK39" s="8" t="n"/>
      <c r="AL39" s="9" t="n"/>
      <c r="AM39" s="9" t="n"/>
      <c r="AN39" s="10" t="n"/>
      <c r="AO39" s="11" t="n"/>
      <c r="AP39" s="11" t="n"/>
      <c r="AQ39" s="11" t="n"/>
      <c r="AR39" s="11" t="n"/>
      <c r="AS39" s="11" t="n"/>
      <c r="AT39" s="11" t="n"/>
      <c r="AU39" s="11" t="n"/>
      <c r="AV39" s="11" t="n"/>
      <c r="AW39" s="11" t="n"/>
      <c r="AX39" s="11" t="n"/>
      <c r="AY39" s="11" t="n"/>
      <c r="AZ39" s="11" t="n"/>
      <c r="BA39" s="11" t="n"/>
      <c r="BB39" s="11" t="n"/>
      <c r="BC39" s="11" t="n"/>
      <c r="BD39" s="11" t="n"/>
      <c r="BE39" s="11" t="n"/>
      <c r="BF39" s="11" t="n"/>
      <c r="BG39" s="11" t="n"/>
      <c r="BH39" s="11" t="n"/>
      <c r="BI39" s="12" t="n"/>
      <c r="BJ39" s="12" t="n"/>
      <c r="BK39" s="12" t="n"/>
      <c r="BL39" s="12" t="n"/>
      <c r="BM39" s="13" t="n"/>
      <c r="BN39" s="13" t="n"/>
      <c r="B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5" t="n"/>
      <c r="L40" s="5" t="n"/>
      <c r="M40" s="6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8" t="n"/>
      <c r="AI40" s="8" t="n"/>
      <c r="AJ40" s="8" t="n"/>
      <c r="AK40" s="8" t="n"/>
      <c r="AL40" s="9" t="n"/>
      <c r="AM40" s="9" t="n"/>
      <c r="AN40" s="10" t="n"/>
      <c r="AO40" s="11" t="n"/>
      <c r="AP40" s="11" t="n"/>
      <c r="AQ40" s="11" t="n"/>
      <c r="AR40" s="11" t="n"/>
      <c r="AS40" s="11" t="n"/>
      <c r="AT40" s="11" t="n"/>
      <c r="AU40" s="11" t="n"/>
      <c r="AV40" s="11" t="n"/>
      <c r="AW40" s="11" t="n"/>
      <c r="AX40" s="11" t="n"/>
      <c r="AY40" s="11" t="n"/>
      <c r="AZ40" s="11" t="n"/>
      <c r="BA40" s="11" t="n"/>
      <c r="BB40" s="11" t="n"/>
      <c r="BC40" s="11" t="n"/>
      <c r="BD40" s="11" t="n"/>
      <c r="BE40" s="11" t="n"/>
      <c r="BF40" s="11" t="n"/>
      <c r="BG40" s="11" t="n"/>
      <c r="BH40" s="11" t="n"/>
      <c r="BI40" s="12" t="n"/>
      <c r="BJ40" s="12" t="n"/>
      <c r="BK40" s="12" t="n"/>
      <c r="BL40" s="12" t="n"/>
      <c r="BM40" s="13" t="n"/>
      <c r="BN40" s="13" t="n"/>
      <c r="B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5" t="n"/>
      <c r="L41" s="5" t="n"/>
      <c r="M41" s="6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8" t="n"/>
      <c r="AI41" s="8" t="n"/>
      <c r="AJ41" s="8" t="n"/>
      <c r="AK41" s="8" t="n"/>
      <c r="AL41" s="9" t="n"/>
      <c r="AM41" s="9" t="n"/>
      <c r="AN41" s="10" t="n"/>
      <c r="AO41" s="11" t="n"/>
      <c r="AP41" s="11" t="n"/>
      <c r="AQ41" s="11" t="n"/>
      <c r="AR41" s="11" t="n"/>
      <c r="AS41" s="11" t="n"/>
      <c r="AT41" s="11" t="n"/>
      <c r="AU41" s="11" t="n"/>
      <c r="AV41" s="11" t="n"/>
      <c r="AW41" s="11" t="n"/>
      <c r="AX41" s="11" t="n"/>
      <c r="AY41" s="11" t="n"/>
      <c r="AZ41" s="11" t="n"/>
      <c r="BA41" s="11" t="n"/>
      <c r="BB41" s="11" t="n"/>
      <c r="BC41" s="11" t="n"/>
      <c r="BD41" s="11" t="n"/>
      <c r="BE41" s="11" t="n"/>
      <c r="BF41" s="11" t="n"/>
      <c r="BG41" s="11" t="n"/>
      <c r="BH41" s="11" t="n"/>
      <c r="BI41" s="12" t="n"/>
      <c r="BJ41" s="12" t="n"/>
      <c r="BK41" s="12" t="n"/>
      <c r="BL41" s="12" t="n"/>
      <c r="BM41" s="13" t="n"/>
      <c r="BN41" s="13" t="n"/>
      <c r="BO41" s="4" t="n"/>
    </row>
  </sheetData>
  <dataValidations count="62">
    <dataValidation sqref="A2:A41" showDropDown="0" showInputMessage="0" showErrorMessage="1" allowBlank="1" errorTitle="입력값 확인" error="대상자 번호(기록지 번호): 1~99 범위의 정수" type="whole" operator="between">
      <formula1>1</formula1>
      <formula2>99</formula2>
    </dataValidation>
    <dataValidation sqref="B2:B41" showDropDown="0" showInputMessage="0" showErrorMessage="1" allowBlank="1" errorTitle="입력값 확인" error="집단: 1=실험, 2=통제" type="list">
      <formula1>"1,2"</formula1>
    </dataValidation>
    <dataValidation sqref="C2:C41" showDropDown="0" showInputMessage="0" showErrorMessage="1" allowBlank="1" errorTitle="입력값 확인" error="이용 층: 2 또는 4" type="list">
      <formula1>"2,4"</formula1>
    </dataValidation>
    <dataValidation sqref="D2:D41" showDropDown="0" showInputMessage="0" showErrorMessage="1" allowBlank="1" errorTitle="입력값 확인" error="최종 분석 포함: 1=포함, 0=제외" type="list">
      <formula1>"1,0"</formula1>
    </dataValidation>
    <dataValidation sqref="E2:E41" showDropDown="0" showInputMessage="0" showErrorMessage="1" allowBlank="1" errorTitle="입력값 확인" error="제외 사유: 제외자만. 1 출석 미달, 2 건강상 이유, 3 사후검사 불참, 4 참여 철회, 5 기타" type="list">
      <formula1>"1,2,3,4,5"</formula1>
    </dataValidation>
    <dataValidation sqref="G2:G41" showDropDown="0" showInputMessage="0" showErrorMessage="1" allowBlank="1" errorTitle="입력값 확인" error="제외 시점: 제외자만. 1 사전검사 후 중재 시작 전, 2 중재 중, 3 사후검사 전" type="list">
      <formula1>"1,2,3"</formula1>
    </dataValidation>
    <dataValidation sqref="H2:H41" showDropDown="0" showInputMessage="0" showErrorMessage="1" allowBlank="1" errorTitle="입력값 확인" error="출석 횟수(24회 중): 0~24 범위의 정수" type="whole" operator="between">
      <formula1>0</formula1>
      <formula2>24</formula2>
    </dataValidation>
    <dataValidation sqref="J2:J41" showDropDown="0" showInputMessage="0" showErrorMessage="1" allowBlank="1" errorTitle="입력값 확인" error="나이(만, 세): 60~105 범위의 정수" type="whole" operator="between">
      <formula1>60</formula1>
      <formula2>105</formula2>
    </dataValidation>
    <dataValidation sqref="K2:K41" showDropDown="0" showInputMessage="0" showErrorMessage="1" allowBlank="1" errorTitle="입력값 확인" error="신장(cm): 120~190 범위의 숫자" type="decimal" operator="between">
      <formula1>120</formula1>
      <formula2>190</formula2>
    </dataValidation>
    <dataValidation sqref="L2:L41" showDropDown="0" showInputMessage="0" showErrorMessage="1" allowBlank="1" errorTitle="입력값 확인" error="체중(kg): 25~120 범위의 숫자" type="decimal" operator="between">
      <formula1>25</formula1>
      <formula2>120</formula2>
    </dataValidation>
    <dataValidation sqref="M2:M41" showDropDown="0" showInputMessage="0" showErrorMessage="1" allowBlank="1" errorTitle="입력값 확인" error="날짜 형식(예: 2026-03-02)으로 입력" type="date" operator="greaterThan">
      <formula1>45000</formula1>
    </dataValidation>
    <dataValidation sqref="O2:O41" showDropDown="0" showInputMessage="0" showErrorMessage="1" allowBlank="1" errorTitle="입력값 확인" error="KFES-I 1번 문항 사전: 1~4 범위의 정수" type="whole" operator="between">
      <formula1>1</formula1>
      <formula2>4</formula2>
    </dataValidation>
    <dataValidation sqref="P2:P41" showDropDown="0" showInputMessage="0" showErrorMessage="1" allowBlank="1" errorTitle="입력값 확인" error="KFES-I 2번 문항 사전: 1~4 범위의 정수" type="whole" operator="between">
      <formula1>1</formula1>
      <formula2>4</formula2>
    </dataValidation>
    <dataValidation sqref="Q2:Q41" showDropDown="0" showInputMessage="0" showErrorMessage="1" allowBlank="1" errorTitle="입력값 확인" error="KFES-I 3번 문항 사전: 1~4 범위의 정수" type="whole" operator="between">
      <formula1>1</formula1>
      <formula2>4</formula2>
    </dataValidation>
    <dataValidation sqref="R2:R41" showDropDown="0" showInputMessage="0" showErrorMessage="1" allowBlank="1" errorTitle="입력값 확인" error="KFES-I 4번 문항 사전: 1~4 범위의 정수" type="whole" operator="between">
      <formula1>1</formula1>
      <formula2>4</formula2>
    </dataValidation>
    <dataValidation sqref="S2:S41" showDropDown="0" showInputMessage="0" showErrorMessage="1" allowBlank="1" errorTitle="입력값 확인" error="KFES-I 5번 문항 사전: 1~4 범위의 정수" type="whole" operator="between">
      <formula1>1</formula1>
      <formula2>4</formula2>
    </dataValidation>
    <dataValidation sqref="T2:T41" showDropDown="0" showInputMessage="0" showErrorMessage="1" allowBlank="1" errorTitle="입력값 확인" error="KFES-I 6번 문항 사전: 1~4 범위의 정수" type="whole" operator="between">
      <formula1>1</formula1>
      <formula2>4</formula2>
    </dataValidation>
    <dataValidation sqref="U2:U41" showDropDown="0" showInputMessage="0" showErrorMessage="1" allowBlank="1" errorTitle="입력값 확인" error="KFES-I 7번 문항 사전: 1~4 범위의 정수" type="whole" operator="between">
      <formula1>1</formula1>
      <formula2>4</formula2>
    </dataValidation>
    <dataValidation sqref="V2:V41" showDropDown="0" showInputMessage="0" showErrorMessage="1" allowBlank="1" errorTitle="입력값 확인" error="KFES-I 8번 문항 사전: 1~4 범위의 정수" type="whole" operator="between">
      <formula1>1</formula1>
      <formula2>4</formula2>
    </dataValidation>
    <dataValidation sqref="W2:W41" showDropDown="0" showInputMessage="0" showErrorMessage="1" allowBlank="1" errorTitle="입력값 확인" error="KFES-I 9번 문항 사전: 1~4 범위의 정수" type="whole" operator="between">
      <formula1>1</formula1>
      <formula2>4</formula2>
    </dataValidation>
    <dataValidation sqref="X2:X41" showDropDown="0" showInputMessage="0" showErrorMessage="1" allowBlank="1" errorTitle="입력값 확인" error="KFES-I 10번 문항 사전: 1~4 범위의 정수" type="whole" operator="between">
      <formula1>1</formula1>
      <formula2>4</formula2>
    </dataValidation>
    <dataValidation sqref="Y2:Y41" showDropDown="0" showInputMessage="0" showErrorMessage="1" allowBlank="1" errorTitle="입력값 확인" error="KFES-I 11번 문항 사전: 1~4 범위의 정수" type="whole" operator="between">
      <formula1>1</formula1>
      <formula2>4</formula2>
    </dataValidation>
    <dataValidation sqref="Z2:Z41" showDropDown="0" showInputMessage="0" showErrorMessage="1" allowBlank="1" errorTitle="입력값 확인" error="KFES-I 12번 문항 사전: 1~4 범위의 정수" type="whole" operator="between">
      <formula1>1</formula1>
      <formula2>4</formula2>
    </dataValidation>
    <dataValidation sqref="AA2:AA41" showDropDown="0" showInputMessage="0" showErrorMessage="1" allowBlank="1" errorTitle="입력값 확인" error="KFES-I 13번 문항 사전: 1~4 범위의 정수" type="whole" operator="between">
      <formula1>1</formula1>
      <formula2>4</formula2>
    </dataValidation>
    <dataValidation sqref="AB2:AB41" showDropDown="0" showInputMessage="0" showErrorMessage="1" allowBlank="1" errorTitle="입력값 확인" error="KFES-I 14번 문항 사전: 1~4 범위의 정수" type="whole" operator="between">
      <formula1>1</formula1>
      <formula2>4</formula2>
    </dataValidation>
    <dataValidation sqref="AC2:AC41" showDropDown="0" showInputMessage="0" showErrorMessage="1" allowBlank="1" errorTitle="입력값 확인" error="KFES-I 15번 문항 사전: 1~4 범위의 정수" type="whole" operator="between">
      <formula1>1</formula1>
      <formula2>4</formula2>
    </dataValidation>
    <dataValidation sqref="AD2:AD41" showDropDown="0" showInputMessage="0" showErrorMessage="1" allowBlank="1" errorTitle="입력값 확인" error="KFES-I 16번 문항 사전: 1~4 범위의 정수" type="whole" operator="between">
      <formula1>1</formula1>
      <formula2>4</formula2>
    </dataValidation>
    <dataValidation sqref="AE2:AE41" showDropDown="0" showInputMessage="0" showErrorMessage="1" allowBlank="1" errorTitle="입력값 확인" error="의자 일어서기 사전(회/30초): 0~40 범위의 정수" type="whole" operator="between">
      <formula1>0</formula1>
      <formula2>40</formula2>
    </dataValidation>
    <dataValidation sqref="AF2:AF41" showDropDown="0" showInputMessage="0" showErrorMessage="1" allowBlank="1" errorTitle="입력값 확인" error="팔 굽히기 사전(회/30초): 0~50 범위의 정수" type="whole" operator="between">
      <formula1>0</formula1>
      <formula2>50</formula2>
    </dataValidation>
    <dataValidation sqref="AG2:AG41" showDropDown="0" showInputMessage="0" showErrorMessage="1" allowBlank="1" errorTitle="입력값 확인" error="2분 제자리 걷기 사전(회): 0~200 범위의 정수" type="whole" operator="between">
      <formula1>0</formula1>
      <formula2>200</formula2>
    </dataValidation>
    <dataValidation sqref="AH2:AH41" showDropDown="0" showInputMessage="0" showErrorMessage="1" allowBlank="1" errorTitle="입력값 확인" error="등 뒤로 손잡기 사전 1회(cm): -60~30 범위의 숫자" type="decimal" operator="between">
      <formula1>-60</formula1>
      <formula2>30</formula2>
    </dataValidation>
    <dataValidation sqref="AI2:AI41" showDropDown="0" showInputMessage="0" showErrorMessage="1" allowBlank="1" errorTitle="입력값 확인" error="등 뒤로 손잡기 사전 2회(cm): -60~30 범위의 숫자" type="decimal" operator="between">
      <formula1>-60</formula1>
      <formula2>30</formula2>
    </dataValidation>
    <dataValidation sqref="AJ2:AJ41" showDropDown="0" showInputMessage="0" showErrorMessage="1" allowBlank="1" errorTitle="입력값 확인" error="의자에 앉아 윗몸 앞으로 굽히기 사전 1회(cm): -40~30 범위의 숫자" type="decimal" operator="between">
      <formula1>-40</formula1>
      <formula2>30</formula2>
    </dataValidation>
    <dataValidation sqref="AK2:AK41" showDropDown="0" showInputMessage="0" showErrorMessage="1" allowBlank="1" errorTitle="입력값 확인" error="의자에 앉아 윗몸 앞으로 굽히기 사전 2회(cm): -40~30 범위의 숫자" type="decimal" operator="between">
      <formula1>-40</formula1>
      <formula2>30</formula2>
    </dataValidation>
    <dataValidation sqref="AL2:AL41" showDropDown="0" showInputMessage="0" showErrorMessage="1" allowBlank="1" errorTitle="입력값 확인" error="2.44 m 갔다 오기 사전 1회(초): 2~60 범위의 숫자" type="decimal" operator="between">
      <formula1>2</formula1>
      <formula2>60</formula2>
    </dataValidation>
    <dataValidation sqref="AM2:AM41" showDropDown="0" showInputMessage="0" showErrorMessage="1" allowBlank="1" errorTitle="입력값 확인" error="2.44 m 갔다 오기 사전 2회(초): 2~60 범위의 숫자" type="decimal" operator="between">
      <formula1>2</formula1>
      <formula2>60</formula2>
    </dataValidation>
    <dataValidation sqref="AN2:AN41" showDropDown="0" showInputMessage="0" showErrorMessage="1" allowBlank="1" errorTitle="입력값 확인" error="날짜 형식(예: 2026-03-02)으로 입력" type="date" operator="greaterThan">
      <formula1>45000</formula1>
    </dataValidation>
    <dataValidation sqref="AP2:AP41" showDropDown="0" showInputMessage="0" showErrorMessage="1" allowBlank="1" errorTitle="입력값 확인" error="KFES-I 1번 문항 사후: 1~4 범위의 정수" type="whole" operator="between">
      <formula1>1</formula1>
      <formula2>4</formula2>
    </dataValidation>
    <dataValidation sqref="AQ2:AQ41" showDropDown="0" showInputMessage="0" showErrorMessage="1" allowBlank="1" errorTitle="입력값 확인" error="KFES-I 2번 문항 사후: 1~4 범위의 정수" type="whole" operator="between">
      <formula1>1</formula1>
      <formula2>4</formula2>
    </dataValidation>
    <dataValidation sqref="AR2:AR41" showDropDown="0" showInputMessage="0" showErrorMessage="1" allowBlank="1" errorTitle="입력값 확인" error="KFES-I 3번 문항 사후: 1~4 범위의 정수" type="whole" operator="between">
      <formula1>1</formula1>
      <formula2>4</formula2>
    </dataValidation>
    <dataValidation sqref="AS2:AS41" showDropDown="0" showInputMessage="0" showErrorMessage="1" allowBlank="1" errorTitle="입력값 확인" error="KFES-I 4번 문항 사후: 1~4 범위의 정수" type="whole" operator="between">
      <formula1>1</formula1>
      <formula2>4</formula2>
    </dataValidation>
    <dataValidation sqref="AT2:AT41" showDropDown="0" showInputMessage="0" showErrorMessage="1" allowBlank="1" errorTitle="입력값 확인" error="KFES-I 5번 문항 사후: 1~4 범위의 정수" type="whole" operator="between">
      <formula1>1</formula1>
      <formula2>4</formula2>
    </dataValidation>
    <dataValidation sqref="AU2:AU41" showDropDown="0" showInputMessage="0" showErrorMessage="1" allowBlank="1" errorTitle="입력값 확인" error="KFES-I 6번 문항 사후: 1~4 범위의 정수" type="whole" operator="between">
      <formula1>1</formula1>
      <formula2>4</formula2>
    </dataValidation>
    <dataValidation sqref="AV2:AV41" showDropDown="0" showInputMessage="0" showErrorMessage="1" allowBlank="1" errorTitle="입력값 확인" error="KFES-I 7번 문항 사후: 1~4 범위의 정수" type="whole" operator="between">
      <formula1>1</formula1>
      <formula2>4</formula2>
    </dataValidation>
    <dataValidation sqref="AW2:AW41" showDropDown="0" showInputMessage="0" showErrorMessage="1" allowBlank="1" errorTitle="입력값 확인" error="KFES-I 8번 문항 사후: 1~4 범위의 정수" type="whole" operator="between">
      <formula1>1</formula1>
      <formula2>4</formula2>
    </dataValidation>
    <dataValidation sqref="AX2:AX41" showDropDown="0" showInputMessage="0" showErrorMessage="1" allowBlank="1" errorTitle="입력값 확인" error="KFES-I 9번 문항 사후: 1~4 범위의 정수" type="whole" operator="between">
      <formula1>1</formula1>
      <formula2>4</formula2>
    </dataValidation>
    <dataValidation sqref="AY2:AY41" showDropDown="0" showInputMessage="0" showErrorMessage="1" allowBlank="1" errorTitle="입력값 확인" error="KFES-I 10번 문항 사후: 1~4 범위의 정수" type="whole" operator="between">
      <formula1>1</formula1>
      <formula2>4</formula2>
    </dataValidation>
    <dataValidation sqref="AZ2:AZ41" showDropDown="0" showInputMessage="0" showErrorMessage="1" allowBlank="1" errorTitle="입력값 확인" error="KFES-I 11번 문항 사후: 1~4 범위의 정수" type="whole" operator="between">
      <formula1>1</formula1>
      <formula2>4</formula2>
    </dataValidation>
    <dataValidation sqref="BA2:BA41" showDropDown="0" showInputMessage="0" showErrorMessage="1" allowBlank="1" errorTitle="입력값 확인" error="KFES-I 12번 문항 사후: 1~4 범위의 정수" type="whole" operator="between">
      <formula1>1</formula1>
      <formula2>4</formula2>
    </dataValidation>
    <dataValidation sqref="BB2:BB41" showDropDown="0" showInputMessage="0" showErrorMessage="1" allowBlank="1" errorTitle="입력값 확인" error="KFES-I 13번 문항 사후: 1~4 범위의 정수" type="whole" operator="between">
      <formula1>1</formula1>
      <formula2>4</formula2>
    </dataValidation>
    <dataValidation sqref="BC2:BC41" showDropDown="0" showInputMessage="0" showErrorMessage="1" allowBlank="1" errorTitle="입력값 확인" error="KFES-I 14번 문항 사후: 1~4 범위의 정수" type="whole" operator="between">
      <formula1>1</formula1>
      <formula2>4</formula2>
    </dataValidation>
    <dataValidation sqref="BD2:BD41" showDropDown="0" showInputMessage="0" showErrorMessage="1" allowBlank="1" errorTitle="입력값 확인" error="KFES-I 15번 문항 사후: 1~4 범위의 정수" type="whole" operator="between">
      <formula1>1</formula1>
      <formula2>4</formula2>
    </dataValidation>
    <dataValidation sqref="BE2:BE41" showDropDown="0" showInputMessage="0" showErrorMessage="1" allowBlank="1" errorTitle="입력값 확인" error="KFES-I 16번 문항 사후: 1~4 범위의 정수" type="whole" operator="between">
      <formula1>1</formula1>
      <formula2>4</formula2>
    </dataValidation>
    <dataValidation sqref="BF2:BF41" showDropDown="0" showInputMessage="0" showErrorMessage="1" allowBlank="1" errorTitle="입력값 확인" error="의자 일어서기 사후(회/30초): 0~40 범위의 정수" type="whole" operator="between">
      <formula1>0</formula1>
      <formula2>40</formula2>
    </dataValidation>
    <dataValidation sqref="BG2:BG41" showDropDown="0" showInputMessage="0" showErrorMessage="1" allowBlank="1" errorTitle="입력값 확인" error="팔 굽히기 사후(회/30초): 0~50 범위의 정수" type="whole" operator="between">
      <formula1>0</formula1>
      <formula2>50</formula2>
    </dataValidation>
    <dataValidation sqref="BH2:BH41" showDropDown="0" showInputMessage="0" showErrorMessage="1" allowBlank="1" errorTitle="입력값 확인" error="2분 제자리 걷기 사후(회): 0~200 범위의 정수" type="whole" operator="between">
      <formula1>0</formula1>
      <formula2>200</formula2>
    </dataValidation>
    <dataValidation sqref="BI2:BI41" showDropDown="0" showInputMessage="0" showErrorMessage="1" allowBlank="1" errorTitle="입력값 확인" error="등 뒤로 손잡기 사후 1회(cm): -60~30 범위의 숫자" type="decimal" operator="between">
      <formula1>-60</formula1>
      <formula2>30</formula2>
    </dataValidation>
    <dataValidation sqref="BJ2:BJ41" showDropDown="0" showInputMessage="0" showErrorMessage="1" allowBlank="1" errorTitle="입력값 확인" error="등 뒤로 손잡기 사후 2회(cm): -60~30 범위의 숫자" type="decimal" operator="between">
      <formula1>-60</formula1>
      <formula2>30</formula2>
    </dataValidation>
    <dataValidation sqref="BK2:BK41" showDropDown="0" showInputMessage="0" showErrorMessage="1" allowBlank="1" errorTitle="입력값 확인" error="의자에 앉아 윗몸 앞으로 굽히기 사후 1회(cm): -40~30 범위의 숫자" type="decimal" operator="between">
      <formula1>-40</formula1>
      <formula2>30</formula2>
    </dataValidation>
    <dataValidation sqref="BL2:BL41" showDropDown="0" showInputMessage="0" showErrorMessage="1" allowBlank="1" errorTitle="입력값 확인" error="의자에 앉아 윗몸 앞으로 굽히기 사후 2회(cm): -40~30 범위의 숫자" type="decimal" operator="between">
      <formula1>-40</formula1>
      <formula2>30</formula2>
    </dataValidation>
    <dataValidation sqref="BM2:BM41" showDropDown="0" showInputMessage="0" showErrorMessage="1" allowBlank="1" errorTitle="입력값 확인" error="2.44 m 갔다 오기 사후 1회(초): 2~60 범위의 숫자" type="decimal" operator="between">
      <formula1>2</formula1>
      <formula2>60</formula2>
    </dataValidation>
    <dataValidation sqref="BN2:BN41" showDropDown="0" showInputMessage="0" showErrorMessage="1" allowBlank="1" errorTitle="입력값 확인" error="2.44 m 갔다 오기 사후 2회(초): 2~60 범위의 숫자" type="decimal" operator="between">
      <formula1>2</formula1>
      <formula2>60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6" customWidth="1" min="3" max="3"/>
    <col width="14" customWidth="1" min="4" max="4"/>
    <col width="40" customWidth="1" min="5" max="5"/>
    <col width="12" customWidth="1" min="6" max="6"/>
    <col width="40" customWidth="1" min="7" max="7"/>
  </cols>
  <sheetData>
    <row r="1">
      <c r="A1" s="14" t="inlineStr">
        <is>
          <t>변수명</t>
        </is>
      </c>
      <c r="B1" s="14" t="inlineStr">
        <is>
          <t>설명</t>
        </is>
      </c>
      <c r="C1" s="14" t="inlineStr">
        <is>
          <t>구역</t>
        </is>
      </c>
      <c r="D1" s="14" t="inlineStr">
        <is>
          <t>종류</t>
        </is>
      </c>
      <c r="E1" s="14" t="inlineStr">
        <is>
          <t>입력값·코드</t>
        </is>
      </c>
      <c r="F1" s="14" t="inlineStr">
        <is>
          <t>허용 범위</t>
        </is>
      </c>
      <c r="G1" s="14" t="inlineStr">
        <is>
          <t>기록 방법</t>
        </is>
      </c>
    </row>
    <row r="2">
      <c r="A2" s="15" t="inlineStr">
        <is>
          <t>id</t>
        </is>
      </c>
      <c r="B2" s="15" t="inlineStr">
        <is>
          <t>대상자 번호(기록지 번호)</t>
        </is>
      </c>
      <c r="C2" s="15" t="inlineStr">
        <is>
          <t>기본</t>
        </is>
      </c>
      <c r="D2" s="15" t="inlineStr">
        <is>
          <t>정수</t>
        </is>
      </c>
      <c r="E2" s="15" t="inlineStr"/>
      <c r="F2" s="15" t="inlineStr">
        <is>
          <t>1~99</t>
        </is>
      </c>
      <c r="G2" s="15" t="inlineStr">
        <is>
          <t>기록지에 적힌 번호</t>
        </is>
      </c>
    </row>
    <row r="3">
      <c r="A3" s="15" t="inlineStr">
        <is>
          <t>group</t>
        </is>
      </c>
      <c r="B3" s="15" t="inlineStr">
        <is>
          <t>집단</t>
        </is>
      </c>
      <c r="C3" s="15" t="inlineStr">
        <is>
          <t>기본</t>
        </is>
      </c>
      <c r="D3" s="15" t="inlineStr">
        <is>
          <t>코드</t>
        </is>
      </c>
      <c r="E3" s="15" t="inlineStr">
        <is>
          <t>1=실험집단; 2=통제집단</t>
        </is>
      </c>
      <c r="F3" s="15" t="inlineStr"/>
      <c r="G3" s="15" t="inlineStr">
        <is>
          <t>1=실험, 2=통제</t>
        </is>
      </c>
    </row>
    <row r="4">
      <c r="A4" s="15" t="inlineStr">
        <is>
          <t>floor</t>
        </is>
      </c>
      <c r="B4" s="15" t="inlineStr">
        <is>
          <t>이용 층</t>
        </is>
      </c>
      <c r="C4" s="15" t="inlineStr">
        <is>
          <t>기본</t>
        </is>
      </c>
      <c r="D4" s="15" t="inlineStr">
        <is>
          <t>코드</t>
        </is>
      </c>
      <c r="E4" s="15" t="inlineStr">
        <is>
          <t>2=2층; 4=4층</t>
        </is>
      </c>
      <c r="F4" s="15" t="inlineStr"/>
      <c r="G4" s="15" t="inlineStr">
        <is>
          <t>2 또는 4</t>
        </is>
      </c>
    </row>
    <row r="5">
      <c r="A5" s="15" t="inlineStr">
        <is>
          <t>incl</t>
        </is>
      </c>
      <c r="B5" s="15" t="inlineStr">
        <is>
          <t>최종 분석 포함</t>
        </is>
      </c>
      <c r="C5" s="15" t="inlineStr">
        <is>
          <t>기본</t>
        </is>
      </c>
      <c r="D5" s="15" t="inlineStr">
        <is>
          <t>코드</t>
        </is>
      </c>
      <c r="E5" s="15" t="inlineStr">
        <is>
          <t>1=최종 분석 포함; 0=제외</t>
        </is>
      </c>
      <c r="F5" s="15" t="inlineStr"/>
      <c r="G5" s="15" t="inlineStr">
        <is>
          <t>1=포함, 0=제외</t>
        </is>
      </c>
    </row>
    <row r="6">
      <c r="A6" s="15" t="inlineStr">
        <is>
          <t>excl_rsn</t>
        </is>
      </c>
      <c r="B6" s="15" t="inlineStr">
        <is>
          <t>제외 사유</t>
        </is>
      </c>
      <c r="C6" s="15" t="inlineStr">
        <is>
          <t>기본</t>
        </is>
      </c>
      <c r="D6" s="15" t="inlineStr">
        <is>
          <t>코드</t>
        </is>
      </c>
      <c r="E6" s="15" t="inlineStr">
        <is>
          <t>1=출석 미달; 2=건강상 이유; 3=사후검사 불참; 4=참여 철회; 5=기타</t>
        </is>
      </c>
      <c r="F6" s="15" t="inlineStr"/>
      <c r="G6" s="15" t="inlineStr">
        <is>
          <t>제외자만. 1 출석 미달, 2 건강상 이유, 3 사후검사 불참, 4 참여 철회, 5 기타</t>
        </is>
      </c>
    </row>
    <row r="7">
      <c r="A7" s="15" t="inlineStr">
        <is>
          <t>excl_txt</t>
        </is>
      </c>
      <c r="B7" s="15" t="inlineStr">
        <is>
          <t>제외 사유 상세</t>
        </is>
      </c>
      <c r="C7" s="15" t="inlineStr">
        <is>
          <t>기본</t>
        </is>
      </c>
      <c r="D7" s="15" t="inlineStr">
        <is>
          <t>문자</t>
        </is>
      </c>
      <c r="E7" s="15" t="inlineStr"/>
      <c r="F7" s="15" t="inlineStr"/>
      <c r="G7" s="15" t="inlineStr">
        <is>
          <t>제외자만. 예: 무릎 통증으로 4주차부터 불참</t>
        </is>
      </c>
    </row>
    <row r="8">
      <c r="A8" s="15" t="inlineStr">
        <is>
          <t>excl_when</t>
        </is>
      </c>
      <c r="B8" s="15" t="inlineStr">
        <is>
          <t>제외 시점</t>
        </is>
      </c>
      <c r="C8" s="15" t="inlineStr">
        <is>
          <t>기본</t>
        </is>
      </c>
      <c r="D8" s="15" t="inlineStr">
        <is>
          <t>코드</t>
        </is>
      </c>
      <c r="E8" s="15" t="inlineStr">
        <is>
          <t>1=사전검사 후 중재 시작 전; 2=중재 중; 3=사후검사 전</t>
        </is>
      </c>
      <c r="F8" s="15" t="inlineStr"/>
      <c r="G8" s="15" t="inlineStr">
        <is>
          <t>제외자만. 1 사전검사 후 중재 시작 전, 2 중재 중, 3 사후검사 전</t>
        </is>
      </c>
    </row>
    <row r="9">
      <c r="A9" s="15" t="inlineStr">
        <is>
          <t>attend</t>
        </is>
      </c>
      <c r="B9" s="15" t="inlineStr">
        <is>
          <t>출석 횟수(24회 중)</t>
        </is>
      </c>
      <c r="C9" s="15" t="inlineStr">
        <is>
          <t>기본</t>
        </is>
      </c>
      <c r="D9" s="15" t="inlineStr">
        <is>
          <t>정수</t>
        </is>
      </c>
      <c r="E9" s="15" t="inlineStr"/>
      <c r="F9" s="15" t="inlineStr">
        <is>
          <t>0~24</t>
        </is>
      </c>
      <c r="G9" s="15" t="inlineStr">
        <is>
          <t>실험집단만. 출석부 기준</t>
        </is>
      </c>
    </row>
    <row r="10">
      <c r="A10" s="15" t="inlineStr">
        <is>
          <t>band_fin</t>
        </is>
      </c>
      <c r="B10" s="15" t="inlineStr">
        <is>
          <t>8주차 최종 밴드 색상</t>
        </is>
      </c>
      <c r="C10" s="15" t="inlineStr">
        <is>
          <t>기본</t>
        </is>
      </c>
      <c r="D10" s="15" t="inlineStr">
        <is>
          <t>문자</t>
        </is>
      </c>
      <c r="E10" s="15" t="inlineStr"/>
      <c r="F10" s="15" t="inlineStr"/>
      <c r="G10" s="15" t="inlineStr">
        <is>
          <t>실험집단만. 예: 빨강</t>
        </is>
      </c>
    </row>
    <row r="11">
      <c r="A11" s="15" t="inlineStr">
        <is>
          <t>age</t>
        </is>
      </c>
      <c r="B11" s="15" t="inlineStr">
        <is>
          <t>나이(만, 세)</t>
        </is>
      </c>
      <c r="C11" s="15" t="inlineStr">
        <is>
          <t>기본</t>
        </is>
      </c>
      <c r="D11" s="15" t="inlineStr">
        <is>
          <t>정수</t>
        </is>
      </c>
      <c r="E11" s="15" t="inlineStr"/>
      <c r="F11" s="15" t="inlineStr">
        <is>
          <t>60~105</t>
        </is>
      </c>
      <c r="G11" s="15" t="inlineStr">
        <is>
          <t>만 나이</t>
        </is>
      </c>
    </row>
    <row r="12">
      <c r="A12" s="15" t="inlineStr">
        <is>
          <t>height</t>
        </is>
      </c>
      <c r="B12" s="15" t="inlineStr">
        <is>
          <t>신장(cm)</t>
        </is>
      </c>
      <c r="C12" s="15" t="inlineStr">
        <is>
          <t>기본</t>
        </is>
      </c>
      <c r="D12" s="15" t="inlineStr">
        <is>
          <t>숫자(소수 1자리까지)</t>
        </is>
      </c>
      <c r="E12" s="15" t="inlineStr"/>
      <c r="F12" s="15" t="inlineStr">
        <is>
          <t>120~190</t>
        </is>
      </c>
      <c r="G12" s="15" t="inlineStr">
        <is>
          <t>cm, 기록지 그대로</t>
        </is>
      </c>
    </row>
    <row r="13">
      <c r="A13" s="15" t="inlineStr">
        <is>
          <t>weight</t>
        </is>
      </c>
      <c r="B13" s="15" t="inlineStr">
        <is>
          <t>체중(kg)</t>
        </is>
      </c>
      <c r="C13" s="15" t="inlineStr">
        <is>
          <t>기본</t>
        </is>
      </c>
      <c r="D13" s="15" t="inlineStr">
        <is>
          <t>숫자(소수 1자리까지)</t>
        </is>
      </c>
      <c r="E13" s="15" t="inlineStr"/>
      <c r="F13" s="15" t="inlineStr">
        <is>
          <t>25~120</t>
        </is>
      </c>
      <c r="G13" s="15" t="inlineStr">
        <is>
          <t>kg, 기록지 그대로</t>
        </is>
      </c>
    </row>
    <row r="14">
      <c r="A14" s="15" t="inlineStr">
        <is>
          <t>date_pre</t>
        </is>
      </c>
      <c r="B14" s="15" t="inlineStr">
        <is>
          <t>사전검사 날짜</t>
        </is>
      </c>
      <c r="C14" s="15" t="inlineStr">
        <is>
          <t>사전</t>
        </is>
      </c>
      <c r="D14" s="15" t="inlineStr">
        <is>
          <t>날짜</t>
        </is>
      </c>
      <c r="E14" s="15" t="inlineStr"/>
      <c r="F14" s="15" t="inlineStr"/>
      <c r="G14" s="15" t="inlineStr">
        <is>
          <t>YYYY-MM-DD</t>
        </is>
      </c>
    </row>
    <row r="15">
      <c r="A15" s="15" t="inlineStr">
        <is>
          <t>rater_pre</t>
        </is>
      </c>
      <c r="B15" s="15" t="inlineStr">
        <is>
          <t>사전 측정자</t>
        </is>
      </c>
      <c r="C15" s="15" t="inlineStr">
        <is>
          <t>사전</t>
        </is>
      </c>
      <c r="D15" s="15" t="inlineStr">
        <is>
          <t>문자</t>
        </is>
      </c>
      <c r="E15" s="15" t="inlineStr"/>
      <c r="F15" s="15" t="inlineStr"/>
      <c r="G15" s="15" t="inlineStr">
        <is>
          <t>이름 또는 기호(예: A)</t>
        </is>
      </c>
    </row>
    <row r="16">
      <c r="A16" s="15" t="inlineStr">
        <is>
          <t>kfes01_pre</t>
        </is>
      </c>
      <c r="B16" s="15" t="inlineStr">
        <is>
          <t>KFES-I 1번 문항 사전</t>
        </is>
      </c>
      <c r="C16" s="15" t="inlineStr">
        <is>
          <t>사전</t>
        </is>
      </c>
      <c r="D16" s="15" t="inlineStr">
        <is>
          <t>정수</t>
        </is>
      </c>
      <c r="E16" s="15" t="inlineStr"/>
      <c r="F16" s="15" t="inlineStr">
        <is>
          <t>1~4</t>
        </is>
      </c>
      <c r="G16" s="15" t="inlineStr">
        <is>
          <t>1 전혀 걱정 안 함 ~ 4 매우 걱정</t>
        </is>
      </c>
    </row>
    <row r="17">
      <c r="A17" s="15" t="inlineStr">
        <is>
          <t>kfes02_pre</t>
        </is>
      </c>
      <c r="B17" s="15" t="inlineStr">
        <is>
          <t>KFES-I 2번 문항 사전</t>
        </is>
      </c>
      <c r="C17" s="15" t="inlineStr">
        <is>
          <t>사전</t>
        </is>
      </c>
      <c r="D17" s="15" t="inlineStr">
        <is>
          <t>정수</t>
        </is>
      </c>
      <c r="E17" s="15" t="inlineStr"/>
      <c r="F17" s="15" t="inlineStr">
        <is>
          <t>1~4</t>
        </is>
      </c>
      <c r="G17" s="15" t="inlineStr">
        <is>
          <t>1 전혀 걱정 안 함 ~ 4 매우 걱정</t>
        </is>
      </c>
    </row>
    <row r="18">
      <c r="A18" s="15" t="inlineStr">
        <is>
          <t>kfes03_pre</t>
        </is>
      </c>
      <c r="B18" s="15" t="inlineStr">
        <is>
          <t>KFES-I 3번 문항 사전</t>
        </is>
      </c>
      <c r="C18" s="15" t="inlineStr">
        <is>
          <t>사전</t>
        </is>
      </c>
      <c r="D18" s="15" t="inlineStr">
        <is>
          <t>정수</t>
        </is>
      </c>
      <c r="E18" s="15" t="inlineStr"/>
      <c r="F18" s="15" t="inlineStr">
        <is>
          <t>1~4</t>
        </is>
      </c>
      <c r="G18" s="15" t="inlineStr">
        <is>
          <t>1 전혀 걱정 안 함 ~ 4 매우 걱정</t>
        </is>
      </c>
    </row>
    <row r="19">
      <c r="A19" s="15" t="inlineStr">
        <is>
          <t>kfes04_pre</t>
        </is>
      </c>
      <c r="B19" s="15" t="inlineStr">
        <is>
          <t>KFES-I 4번 문항 사전</t>
        </is>
      </c>
      <c r="C19" s="15" t="inlineStr">
        <is>
          <t>사전</t>
        </is>
      </c>
      <c r="D19" s="15" t="inlineStr">
        <is>
          <t>정수</t>
        </is>
      </c>
      <c r="E19" s="15" t="inlineStr"/>
      <c r="F19" s="15" t="inlineStr">
        <is>
          <t>1~4</t>
        </is>
      </c>
      <c r="G19" s="15" t="inlineStr">
        <is>
          <t>1 전혀 걱정 안 함 ~ 4 매우 걱정</t>
        </is>
      </c>
    </row>
    <row r="20">
      <c r="A20" s="15" t="inlineStr">
        <is>
          <t>kfes05_pre</t>
        </is>
      </c>
      <c r="B20" s="15" t="inlineStr">
        <is>
          <t>KFES-I 5번 문항 사전</t>
        </is>
      </c>
      <c r="C20" s="15" t="inlineStr">
        <is>
          <t>사전</t>
        </is>
      </c>
      <c r="D20" s="15" t="inlineStr">
        <is>
          <t>정수</t>
        </is>
      </c>
      <c r="E20" s="15" t="inlineStr"/>
      <c r="F20" s="15" t="inlineStr">
        <is>
          <t>1~4</t>
        </is>
      </c>
      <c r="G20" s="15" t="inlineStr">
        <is>
          <t>1 전혀 걱정 안 함 ~ 4 매우 걱정</t>
        </is>
      </c>
    </row>
    <row r="21">
      <c r="A21" s="15" t="inlineStr">
        <is>
          <t>kfes06_pre</t>
        </is>
      </c>
      <c r="B21" s="15" t="inlineStr">
        <is>
          <t>KFES-I 6번 문항 사전</t>
        </is>
      </c>
      <c r="C21" s="15" t="inlineStr">
        <is>
          <t>사전</t>
        </is>
      </c>
      <c r="D21" s="15" t="inlineStr">
        <is>
          <t>정수</t>
        </is>
      </c>
      <c r="E21" s="15" t="inlineStr"/>
      <c r="F21" s="15" t="inlineStr">
        <is>
          <t>1~4</t>
        </is>
      </c>
      <c r="G21" s="15" t="inlineStr">
        <is>
          <t>1 전혀 걱정 안 함 ~ 4 매우 걱정</t>
        </is>
      </c>
    </row>
    <row r="22">
      <c r="A22" s="15" t="inlineStr">
        <is>
          <t>kfes07_pre</t>
        </is>
      </c>
      <c r="B22" s="15" t="inlineStr">
        <is>
          <t>KFES-I 7번 문항 사전</t>
        </is>
      </c>
      <c r="C22" s="15" t="inlineStr">
        <is>
          <t>사전</t>
        </is>
      </c>
      <c r="D22" s="15" t="inlineStr">
        <is>
          <t>정수</t>
        </is>
      </c>
      <c r="E22" s="15" t="inlineStr"/>
      <c r="F22" s="15" t="inlineStr">
        <is>
          <t>1~4</t>
        </is>
      </c>
      <c r="G22" s="15" t="inlineStr">
        <is>
          <t>1 전혀 걱정 안 함 ~ 4 매우 걱정</t>
        </is>
      </c>
    </row>
    <row r="23">
      <c r="A23" s="15" t="inlineStr">
        <is>
          <t>kfes08_pre</t>
        </is>
      </c>
      <c r="B23" s="15" t="inlineStr">
        <is>
          <t>KFES-I 8번 문항 사전</t>
        </is>
      </c>
      <c r="C23" s="15" t="inlineStr">
        <is>
          <t>사전</t>
        </is>
      </c>
      <c r="D23" s="15" t="inlineStr">
        <is>
          <t>정수</t>
        </is>
      </c>
      <c r="E23" s="15" t="inlineStr"/>
      <c r="F23" s="15" t="inlineStr">
        <is>
          <t>1~4</t>
        </is>
      </c>
      <c r="G23" s="15" t="inlineStr">
        <is>
          <t>1 전혀 걱정 안 함 ~ 4 매우 걱정</t>
        </is>
      </c>
    </row>
    <row r="24">
      <c r="A24" s="15" t="inlineStr">
        <is>
          <t>kfes09_pre</t>
        </is>
      </c>
      <c r="B24" s="15" t="inlineStr">
        <is>
          <t>KFES-I 9번 문항 사전</t>
        </is>
      </c>
      <c r="C24" s="15" t="inlineStr">
        <is>
          <t>사전</t>
        </is>
      </c>
      <c r="D24" s="15" t="inlineStr">
        <is>
          <t>정수</t>
        </is>
      </c>
      <c r="E24" s="15" t="inlineStr"/>
      <c r="F24" s="15" t="inlineStr">
        <is>
          <t>1~4</t>
        </is>
      </c>
      <c r="G24" s="15" t="inlineStr">
        <is>
          <t>1 전혀 걱정 안 함 ~ 4 매우 걱정</t>
        </is>
      </c>
    </row>
    <row r="25">
      <c r="A25" s="15" t="inlineStr">
        <is>
          <t>kfes10_pre</t>
        </is>
      </c>
      <c r="B25" s="15" t="inlineStr">
        <is>
          <t>KFES-I 10번 문항 사전</t>
        </is>
      </c>
      <c r="C25" s="15" t="inlineStr">
        <is>
          <t>사전</t>
        </is>
      </c>
      <c r="D25" s="15" t="inlineStr">
        <is>
          <t>정수</t>
        </is>
      </c>
      <c r="E25" s="15" t="inlineStr"/>
      <c r="F25" s="15" t="inlineStr">
        <is>
          <t>1~4</t>
        </is>
      </c>
      <c r="G25" s="15" t="inlineStr">
        <is>
          <t>1 전혀 걱정 안 함 ~ 4 매우 걱정</t>
        </is>
      </c>
    </row>
    <row r="26">
      <c r="A26" s="15" t="inlineStr">
        <is>
          <t>kfes11_pre</t>
        </is>
      </c>
      <c r="B26" s="15" t="inlineStr">
        <is>
          <t>KFES-I 11번 문항 사전</t>
        </is>
      </c>
      <c r="C26" s="15" t="inlineStr">
        <is>
          <t>사전</t>
        </is>
      </c>
      <c r="D26" s="15" t="inlineStr">
        <is>
          <t>정수</t>
        </is>
      </c>
      <c r="E26" s="15" t="inlineStr"/>
      <c r="F26" s="15" t="inlineStr">
        <is>
          <t>1~4</t>
        </is>
      </c>
      <c r="G26" s="15" t="inlineStr">
        <is>
          <t>1 전혀 걱정 안 함 ~ 4 매우 걱정</t>
        </is>
      </c>
    </row>
    <row r="27">
      <c r="A27" s="15" t="inlineStr">
        <is>
          <t>kfes12_pre</t>
        </is>
      </c>
      <c r="B27" s="15" t="inlineStr">
        <is>
          <t>KFES-I 12번 문항 사전</t>
        </is>
      </c>
      <c r="C27" s="15" t="inlineStr">
        <is>
          <t>사전</t>
        </is>
      </c>
      <c r="D27" s="15" t="inlineStr">
        <is>
          <t>정수</t>
        </is>
      </c>
      <c r="E27" s="15" t="inlineStr"/>
      <c r="F27" s="15" t="inlineStr">
        <is>
          <t>1~4</t>
        </is>
      </c>
      <c r="G27" s="15" t="inlineStr">
        <is>
          <t>1 전혀 걱정 안 함 ~ 4 매우 걱정</t>
        </is>
      </c>
    </row>
    <row r="28">
      <c r="A28" s="15" t="inlineStr">
        <is>
          <t>kfes13_pre</t>
        </is>
      </c>
      <c r="B28" s="15" t="inlineStr">
        <is>
          <t>KFES-I 13번 문항 사전</t>
        </is>
      </c>
      <c r="C28" s="15" t="inlineStr">
        <is>
          <t>사전</t>
        </is>
      </c>
      <c r="D28" s="15" t="inlineStr">
        <is>
          <t>정수</t>
        </is>
      </c>
      <c r="E28" s="15" t="inlineStr"/>
      <c r="F28" s="15" t="inlineStr">
        <is>
          <t>1~4</t>
        </is>
      </c>
      <c r="G28" s="15" t="inlineStr">
        <is>
          <t>1 전혀 걱정 안 함 ~ 4 매우 걱정</t>
        </is>
      </c>
    </row>
    <row r="29">
      <c r="A29" s="15" t="inlineStr">
        <is>
          <t>kfes14_pre</t>
        </is>
      </c>
      <c r="B29" s="15" t="inlineStr">
        <is>
          <t>KFES-I 14번 문항 사전</t>
        </is>
      </c>
      <c r="C29" s="15" t="inlineStr">
        <is>
          <t>사전</t>
        </is>
      </c>
      <c r="D29" s="15" t="inlineStr">
        <is>
          <t>정수</t>
        </is>
      </c>
      <c r="E29" s="15" t="inlineStr"/>
      <c r="F29" s="15" t="inlineStr">
        <is>
          <t>1~4</t>
        </is>
      </c>
      <c r="G29" s="15" t="inlineStr">
        <is>
          <t>1 전혀 걱정 안 함 ~ 4 매우 걱정</t>
        </is>
      </c>
    </row>
    <row r="30">
      <c r="A30" s="15" t="inlineStr">
        <is>
          <t>kfes15_pre</t>
        </is>
      </c>
      <c r="B30" s="15" t="inlineStr">
        <is>
          <t>KFES-I 15번 문항 사전</t>
        </is>
      </c>
      <c r="C30" s="15" t="inlineStr">
        <is>
          <t>사전</t>
        </is>
      </c>
      <c r="D30" s="15" t="inlineStr">
        <is>
          <t>정수</t>
        </is>
      </c>
      <c r="E30" s="15" t="inlineStr"/>
      <c r="F30" s="15" t="inlineStr">
        <is>
          <t>1~4</t>
        </is>
      </c>
      <c r="G30" s="15" t="inlineStr">
        <is>
          <t>1 전혀 걱정 안 함 ~ 4 매우 걱정</t>
        </is>
      </c>
    </row>
    <row r="31">
      <c r="A31" s="15" t="inlineStr">
        <is>
          <t>kfes16_pre</t>
        </is>
      </c>
      <c r="B31" s="15" t="inlineStr">
        <is>
          <t>KFES-I 16번 문항 사전</t>
        </is>
      </c>
      <c r="C31" s="15" t="inlineStr">
        <is>
          <t>사전</t>
        </is>
      </c>
      <c r="D31" s="15" t="inlineStr">
        <is>
          <t>정수</t>
        </is>
      </c>
      <c r="E31" s="15" t="inlineStr"/>
      <c r="F31" s="15" t="inlineStr">
        <is>
          <t>1~4</t>
        </is>
      </c>
      <c r="G31" s="15" t="inlineStr">
        <is>
          <t>1 전혀 걱정 안 함 ~ 4 매우 걱정</t>
        </is>
      </c>
    </row>
    <row r="32">
      <c r="A32" s="15" t="inlineStr">
        <is>
          <t>chair_pre</t>
        </is>
      </c>
      <c r="B32" s="15" t="inlineStr">
        <is>
          <t>의자 일어서기 사전(회/30초)</t>
        </is>
      </c>
      <c r="C32" s="15" t="inlineStr">
        <is>
          <t>사전</t>
        </is>
      </c>
      <c r="D32" s="15" t="inlineStr">
        <is>
          <t>정수</t>
        </is>
      </c>
      <c r="E32" s="15" t="inlineStr"/>
      <c r="F32" s="15" t="inlineStr">
        <is>
          <t>0~40</t>
        </is>
      </c>
      <c r="G32" s="15" t="inlineStr">
        <is>
          <t>30초 동안 완전히 일어선 횟수</t>
        </is>
      </c>
    </row>
    <row r="33">
      <c r="A33" s="15" t="inlineStr">
        <is>
          <t>curl_pre</t>
        </is>
      </c>
      <c r="B33" s="15" t="inlineStr">
        <is>
          <t>팔 굽히기 사전(회/30초)</t>
        </is>
      </c>
      <c r="C33" s="15" t="inlineStr">
        <is>
          <t>사전</t>
        </is>
      </c>
      <c r="D33" s="15" t="inlineStr">
        <is>
          <t>정수</t>
        </is>
      </c>
      <c r="E33" s="15" t="inlineStr"/>
      <c r="F33" s="15" t="inlineStr">
        <is>
          <t>0~50</t>
        </is>
      </c>
      <c r="G33" s="15" t="inlineStr">
        <is>
          <t>30초 동안 덤벨 들기 횟수</t>
        </is>
      </c>
    </row>
    <row r="34">
      <c r="A34" s="15" t="inlineStr">
        <is>
          <t>step_pre</t>
        </is>
      </c>
      <c r="B34" s="15" t="inlineStr">
        <is>
          <t>2분 제자리 걷기 사전(회)</t>
        </is>
      </c>
      <c r="C34" s="15" t="inlineStr">
        <is>
          <t>사전</t>
        </is>
      </c>
      <c r="D34" s="15" t="inlineStr">
        <is>
          <t>정수</t>
        </is>
      </c>
      <c r="E34" s="15" t="inlineStr"/>
      <c r="F34" s="15" t="inlineStr">
        <is>
          <t>0~200</t>
        </is>
      </c>
      <c r="G34" s="15" t="inlineStr">
        <is>
          <t>2분 동안 오른쪽 무릎이 기준 높이에 닿은 횟수</t>
        </is>
      </c>
    </row>
    <row r="35">
      <c r="A35" s="15" t="inlineStr">
        <is>
          <t>bs1_pre</t>
        </is>
      </c>
      <c r="B35" s="15" t="inlineStr">
        <is>
          <t>등 뒤로 손잡기 사전 1회(cm)</t>
        </is>
      </c>
      <c r="C35" s="15" t="inlineStr">
        <is>
          <t>사전</t>
        </is>
      </c>
      <c r="D35" s="15" t="inlineStr">
        <is>
          <t>숫자(소수 1자리까지)</t>
        </is>
      </c>
      <c r="E35" s="15" t="inlineStr"/>
      <c r="F35" s="15" t="inlineStr">
        <is>
          <t>-60~30</t>
        </is>
      </c>
      <c r="G35" s="15" t="inlineStr">
        <is>
          <t>닿지 않으면 -, 겹치면 +</t>
        </is>
      </c>
    </row>
    <row r="36">
      <c r="A36" s="15" t="inlineStr">
        <is>
          <t>bs2_pre</t>
        </is>
      </c>
      <c r="B36" s="15" t="inlineStr">
        <is>
          <t>등 뒤로 손잡기 사전 2회(cm)</t>
        </is>
      </c>
      <c r="C36" s="15" t="inlineStr">
        <is>
          <t>사전</t>
        </is>
      </c>
      <c r="D36" s="15" t="inlineStr">
        <is>
          <t>숫자(소수 1자리까지)</t>
        </is>
      </c>
      <c r="E36" s="15" t="inlineStr"/>
      <c r="F36" s="15" t="inlineStr">
        <is>
          <t>-60~30</t>
        </is>
      </c>
      <c r="G36" s="15" t="inlineStr">
        <is>
          <t>2회 기록이 없으면 비움</t>
        </is>
      </c>
    </row>
    <row r="37">
      <c r="A37" s="15" t="inlineStr">
        <is>
          <t>sr1_pre</t>
        </is>
      </c>
      <c r="B37" s="15" t="inlineStr">
        <is>
          <t>의자에 앉아 윗몸 앞으로 굽히기 사전 1회(cm)</t>
        </is>
      </c>
      <c r="C37" s="15" t="inlineStr">
        <is>
          <t>사전</t>
        </is>
      </c>
      <c r="D37" s="15" t="inlineStr">
        <is>
          <t>숫자(소수 1자리까지)</t>
        </is>
      </c>
      <c r="E37" s="15" t="inlineStr"/>
      <c r="F37" s="15" t="inlineStr">
        <is>
          <t>-40~30</t>
        </is>
      </c>
      <c r="G37" s="15" t="inlineStr">
        <is>
          <t>발끝 못 미치면 -, 지나면 +</t>
        </is>
      </c>
    </row>
    <row r="38">
      <c r="A38" s="15" t="inlineStr">
        <is>
          <t>sr2_pre</t>
        </is>
      </c>
      <c r="B38" s="15" t="inlineStr">
        <is>
          <t>의자에 앉아 윗몸 앞으로 굽히기 사전 2회(cm)</t>
        </is>
      </c>
      <c r="C38" s="15" t="inlineStr">
        <is>
          <t>사전</t>
        </is>
      </c>
      <c r="D38" s="15" t="inlineStr">
        <is>
          <t>숫자(소수 1자리까지)</t>
        </is>
      </c>
      <c r="E38" s="15" t="inlineStr"/>
      <c r="F38" s="15" t="inlineStr">
        <is>
          <t>-40~30</t>
        </is>
      </c>
      <c r="G38" s="15" t="inlineStr">
        <is>
          <t>2회 기록이 없으면 비움</t>
        </is>
      </c>
    </row>
    <row r="39">
      <c r="A39" s="15" t="inlineStr">
        <is>
          <t>tug1_pre</t>
        </is>
      </c>
      <c r="B39" s="15" t="inlineStr">
        <is>
          <t>2.44 m 갔다 오기 사전 1회(초)</t>
        </is>
      </c>
      <c r="C39" s="15" t="inlineStr">
        <is>
          <t>사전</t>
        </is>
      </c>
      <c r="D39" s="15" t="inlineStr">
        <is>
          <t>숫자(소수 2자리까지)</t>
        </is>
      </c>
      <c r="E39" s="15" t="inlineStr"/>
      <c r="F39" s="15" t="inlineStr">
        <is>
          <t>2~60</t>
        </is>
      </c>
      <c r="G39" s="15" t="inlineStr">
        <is>
          <t>초, 기록지에 적힌 자리수 그대로</t>
        </is>
      </c>
    </row>
    <row r="40">
      <c r="A40" s="15" t="inlineStr">
        <is>
          <t>tug2_pre</t>
        </is>
      </c>
      <c r="B40" s="15" t="inlineStr">
        <is>
          <t>2.44 m 갔다 오기 사전 2회(초)</t>
        </is>
      </c>
      <c r="C40" s="15" t="inlineStr">
        <is>
          <t>사전</t>
        </is>
      </c>
      <c r="D40" s="15" t="inlineStr">
        <is>
          <t>숫자(소수 2자리까지)</t>
        </is>
      </c>
      <c r="E40" s="15" t="inlineStr"/>
      <c r="F40" s="15" t="inlineStr">
        <is>
          <t>2~60</t>
        </is>
      </c>
      <c r="G40" s="15" t="inlineStr">
        <is>
          <t>2회 기록이 없으면 비움</t>
        </is>
      </c>
    </row>
    <row r="41">
      <c r="A41" s="15" t="inlineStr">
        <is>
          <t>date_post</t>
        </is>
      </c>
      <c r="B41" s="15" t="inlineStr">
        <is>
          <t>사후검사 날짜</t>
        </is>
      </c>
      <c r="C41" s="15" t="inlineStr">
        <is>
          <t>사후</t>
        </is>
      </c>
      <c r="D41" s="15" t="inlineStr">
        <is>
          <t>날짜</t>
        </is>
      </c>
      <c r="E41" s="15" t="inlineStr"/>
      <c r="F41" s="15" t="inlineStr"/>
      <c r="G41" s="15" t="inlineStr">
        <is>
          <t>YYYY-MM-DD</t>
        </is>
      </c>
    </row>
    <row r="42">
      <c r="A42" s="15" t="inlineStr">
        <is>
          <t>rater_post</t>
        </is>
      </c>
      <c r="B42" s="15" t="inlineStr">
        <is>
          <t>사후 측정자</t>
        </is>
      </c>
      <c r="C42" s="15" t="inlineStr">
        <is>
          <t>사후</t>
        </is>
      </c>
      <c r="D42" s="15" t="inlineStr">
        <is>
          <t>문자</t>
        </is>
      </c>
      <c r="E42" s="15" t="inlineStr"/>
      <c r="F42" s="15" t="inlineStr"/>
      <c r="G42" s="15" t="inlineStr">
        <is>
          <t>이름 또는 기호(예: A)</t>
        </is>
      </c>
    </row>
    <row r="43">
      <c r="A43" s="15" t="inlineStr">
        <is>
          <t>kfes01_post</t>
        </is>
      </c>
      <c r="B43" s="15" t="inlineStr">
        <is>
          <t>KFES-I 1번 문항 사후</t>
        </is>
      </c>
      <c r="C43" s="15" t="inlineStr">
        <is>
          <t>사후</t>
        </is>
      </c>
      <c r="D43" s="15" t="inlineStr">
        <is>
          <t>정수</t>
        </is>
      </c>
      <c r="E43" s="15" t="inlineStr"/>
      <c r="F43" s="15" t="inlineStr">
        <is>
          <t>1~4</t>
        </is>
      </c>
      <c r="G43" s="15" t="inlineStr">
        <is>
          <t>1 전혀 걱정 안 함 ~ 4 매우 걱정</t>
        </is>
      </c>
    </row>
    <row r="44">
      <c r="A44" s="15" t="inlineStr">
        <is>
          <t>kfes02_post</t>
        </is>
      </c>
      <c r="B44" s="15" t="inlineStr">
        <is>
          <t>KFES-I 2번 문항 사후</t>
        </is>
      </c>
      <c r="C44" s="15" t="inlineStr">
        <is>
          <t>사후</t>
        </is>
      </c>
      <c r="D44" s="15" t="inlineStr">
        <is>
          <t>정수</t>
        </is>
      </c>
      <c r="E44" s="15" t="inlineStr"/>
      <c r="F44" s="15" t="inlineStr">
        <is>
          <t>1~4</t>
        </is>
      </c>
      <c r="G44" s="15" t="inlineStr">
        <is>
          <t>1 전혀 걱정 안 함 ~ 4 매우 걱정</t>
        </is>
      </c>
    </row>
    <row r="45">
      <c r="A45" s="15" t="inlineStr">
        <is>
          <t>kfes03_post</t>
        </is>
      </c>
      <c r="B45" s="15" t="inlineStr">
        <is>
          <t>KFES-I 3번 문항 사후</t>
        </is>
      </c>
      <c r="C45" s="15" t="inlineStr">
        <is>
          <t>사후</t>
        </is>
      </c>
      <c r="D45" s="15" t="inlineStr">
        <is>
          <t>정수</t>
        </is>
      </c>
      <c r="E45" s="15" t="inlineStr"/>
      <c r="F45" s="15" t="inlineStr">
        <is>
          <t>1~4</t>
        </is>
      </c>
      <c r="G45" s="15" t="inlineStr">
        <is>
          <t>1 전혀 걱정 안 함 ~ 4 매우 걱정</t>
        </is>
      </c>
    </row>
    <row r="46">
      <c r="A46" s="15" t="inlineStr">
        <is>
          <t>kfes04_post</t>
        </is>
      </c>
      <c r="B46" s="15" t="inlineStr">
        <is>
          <t>KFES-I 4번 문항 사후</t>
        </is>
      </c>
      <c r="C46" s="15" t="inlineStr">
        <is>
          <t>사후</t>
        </is>
      </c>
      <c r="D46" s="15" t="inlineStr">
        <is>
          <t>정수</t>
        </is>
      </c>
      <c r="E46" s="15" t="inlineStr"/>
      <c r="F46" s="15" t="inlineStr">
        <is>
          <t>1~4</t>
        </is>
      </c>
      <c r="G46" s="15" t="inlineStr">
        <is>
          <t>1 전혀 걱정 안 함 ~ 4 매우 걱정</t>
        </is>
      </c>
    </row>
    <row r="47">
      <c r="A47" s="15" t="inlineStr">
        <is>
          <t>kfes05_post</t>
        </is>
      </c>
      <c r="B47" s="15" t="inlineStr">
        <is>
          <t>KFES-I 5번 문항 사후</t>
        </is>
      </c>
      <c r="C47" s="15" t="inlineStr">
        <is>
          <t>사후</t>
        </is>
      </c>
      <c r="D47" s="15" t="inlineStr">
        <is>
          <t>정수</t>
        </is>
      </c>
      <c r="E47" s="15" t="inlineStr"/>
      <c r="F47" s="15" t="inlineStr">
        <is>
          <t>1~4</t>
        </is>
      </c>
      <c r="G47" s="15" t="inlineStr">
        <is>
          <t>1 전혀 걱정 안 함 ~ 4 매우 걱정</t>
        </is>
      </c>
    </row>
    <row r="48">
      <c r="A48" s="15" t="inlineStr">
        <is>
          <t>kfes06_post</t>
        </is>
      </c>
      <c r="B48" s="15" t="inlineStr">
        <is>
          <t>KFES-I 6번 문항 사후</t>
        </is>
      </c>
      <c r="C48" s="15" t="inlineStr">
        <is>
          <t>사후</t>
        </is>
      </c>
      <c r="D48" s="15" t="inlineStr">
        <is>
          <t>정수</t>
        </is>
      </c>
      <c r="E48" s="15" t="inlineStr"/>
      <c r="F48" s="15" t="inlineStr">
        <is>
          <t>1~4</t>
        </is>
      </c>
      <c r="G48" s="15" t="inlineStr">
        <is>
          <t>1 전혀 걱정 안 함 ~ 4 매우 걱정</t>
        </is>
      </c>
    </row>
    <row r="49">
      <c r="A49" s="15" t="inlineStr">
        <is>
          <t>kfes07_post</t>
        </is>
      </c>
      <c r="B49" s="15" t="inlineStr">
        <is>
          <t>KFES-I 7번 문항 사후</t>
        </is>
      </c>
      <c r="C49" s="15" t="inlineStr">
        <is>
          <t>사후</t>
        </is>
      </c>
      <c r="D49" s="15" t="inlineStr">
        <is>
          <t>정수</t>
        </is>
      </c>
      <c r="E49" s="15" t="inlineStr"/>
      <c r="F49" s="15" t="inlineStr">
        <is>
          <t>1~4</t>
        </is>
      </c>
      <c r="G49" s="15" t="inlineStr">
        <is>
          <t>1 전혀 걱정 안 함 ~ 4 매우 걱정</t>
        </is>
      </c>
    </row>
    <row r="50">
      <c r="A50" s="15" t="inlineStr">
        <is>
          <t>kfes08_post</t>
        </is>
      </c>
      <c r="B50" s="15" t="inlineStr">
        <is>
          <t>KFES-I 8번 문항 사후</t>
        </is>
      </c>
      <c r="C50" s="15" t="inlineStr">
        <is>
          <t>사후</t>
        </is>
      </c>
      <c r="D50" s="15" t="inlineStr">
        <is>
          <t>정수</t>
        </is>
      </c>
      <c r="E50" s="15" t="inlineStr"/>
      <c r="F50" s="15" t="inlineStr">
        <is>
          <t>1~4</t>
        </is>
      </c>
      <c r="G50" s="15" t="inlineStr">
        <is>
          <t>1 전혀 걱정 안 함 ~ 4 매우 걱정</t>
        </is>
      </c>
    </row>
    <row r="51">
      <c r="A51" s="15" t="inlineStr">
        <is>
          <t>kfes09_post</t>
        </is>
      </c>
      <c r="B51" s="15" t="inlineStr">
        <is>
          <t>KFES-I 9번 문항 사후</t>
        </is>
      </c>
      <c r="C51" s="15" t="inlineStr">
        <is>
          <t>사후</t>
        </is>
      </c>
      <c r="D51" s="15" t="inlineStr">
        <is>
          <t>정수</t>
        </is>
      </c>
      <c r="E51" s="15" t="inlineStr"/>
      <c r="F51" s="15" t="inlineStr">
        <is>
          <t>1~4</t>
        </is>
      </c>
      <c r="G51" s="15" t="inlineStr">
        <is>
          <t>1 전혀 걱정 안 함 ~ 4 매우 걱정</t>
        </is>
      </c>
    </row>
    <row r="52">
      <c r="A52" s="15" t="inlineStr">
        <is>
          <t>kfes10_post</t>
        </is>
      </c>
      <c r="B52" s="15" t="inlineStr">
        <is>
          <t>KFES-I 10번 문항 사후</t>
        </is>
      </c>
      <c r="C52" s="15" t="inlineStr">
        <is>
          <t>사후</t>
        </is>
      </c>
      <c r="D52" s="15" t="inlineStr">
        <is>
          <t>정수</t>
        </is>
      </c>
      <c r="E52" s="15" t="inlineStr"/>
      <c r="F52" s="15" t="inlineStr">
        <is>
          <t>1~4</t>
        </is>
      </c>
      <c r="G52" s="15" t="inlineStr">
        <is>
          <t>1 전혀 걱정 안 함 ~ 4 매우 걱정</t>
        </is>
      </c>
    </row>
    <row r="53">
      <c r="A53" s="15" t="inlineStr">
        <is>
          <t>kfes11_post</t>
        </is>
      </c>
      <c r="B53" s="15" t="inlineStr">
        <is>
          <t>KFES-I 11번 문항 사후</t>
        </is>
      </c>
      <c r="C53" s="15" t="inlineStr">
        <is>
          <t>사후</t>
        </is>
      </c>
      <c r="D53" s="15" t="inlineStr">
        <is>
          <t>정수</t>
        </is>
      </c>
      <c r="E53" s="15" t="inlineStr"/>
      <c r="F53" s="15" t="inlineStr">
        <is>
          <t>1~4</t>
        </is>
      </c>
      <c r="G53" s="15" t="inlineStr">
        <is>
          <t>1 전혀 걱정 안 함 ~ 4 매우 걱정</t>
        </is>
      </c>
    </row>
    <row r="54">
      <c r="A54" s="15" t="inlineStr">
        <is>
          <t>kfes12_post</t>
        </is>
      </c>
      <c r="B54" s="15" t="inlineStr">
        <is>
          <t>KFES-I 12번 문항 사후</t>
        </is>
      </c>
      <c r="C54" s="15" t="inlineStr">
        <is>
          <t>사후</t>
        </is>
      </c>
      <c r="D54" s="15" t="inlineStr">
        <is>
          <t>정수</t>
        </is>
      </c>
      <c r="E54" s="15" t="inlineStr"/>
      <c r="F54" s="15" t="inlineStr">
        <is>
          <t>1~4</t>
        </is>
      </c>
      <c r="G54" s="15" t="inlineStr">
        <is>
          <t>1 전혀 걱정 안 함 ~ 4 매우 걱정</t>
        </is>
      </c>
    </row>
    <row r="55">
      <c r="A55" s="15" t="inlineStr">
        <is>
          <t>kfes13_post</t>
        </is>
      </c>
      <c r="B55" s="15" t="inlineStr">
        <is>
          <t>KFES-I 13번 문항 사후</t>
        </is>
      </c>
      <c r="C55" s="15" t="inlineStr">
        <is>
          <t>사후</t>
        </is>
      </c>
      <c r="D55" s="15" t="inlineStr">
        <is>
          <t>정수</t>
        </is>
      </c>
      <c r="E55" s="15" t="inlineStr"/>
      <c r="F55" s="15" t="inlineStr">
        <is>
          <t>1~4</t>
        </is>
      </c>
      <c r="G55" s="15" t="inlineStr">
        <is>
          <t>1 전혀 걱정 안 함 ~ 4 매우 걱정</t>
        </is>
      </c>
    </row>
    <row r="56">
      <c r="A56" s="15" t="inlineStr">
        <is>
          <t>kfes14_post</t>
        </is>
      </c>
      <c r="B56" s="15" t="inlineStr">
        <is>
          <t>KFES-I 14번 문항 사후</t>
        </is>
      </c>
      <c r="C56" s="15" t="inlineStr">
        <is>
          <t>사후</t>
        </is>
      </c>
      <c r="D56" s="15" t="inlineStr">
        <is>
          <t>정수</t>
        </is>
      </c>
      <c r="E56" s="15" t="inlineStr"/>
      <c r="F56" s="15" t="inlineStr">
        <is>
          <t>1~4</t>
        </is>
      </c>
      <c r="G56" s="15" t="inlineStr">
        <is>
          <t>1 전혀 걱정 안 함 ~ 4 매우 걱정</t>
        </is>
      </c>
    </row>
    <row r="57">
      <c r="A57" s="15" t="inlineStr">
        <is>
          <t>kfes15_post</t>
        </is>
      </c>
      <c r="B57" s="15" t="inlineStr">
        <is>
          <t>KFES-I 15번 문항 사후</t>
        </is>
      </c>
      <c r="C57" s="15" t="inlineStr">
        <is>
          <t>사후</t>
        </is>
      </c>
      <c r="D57" s="15" t="inlineStr">
        <is>
          <t>정수</t>
        </is>
      </c>
      <c r="E57" s="15" t="inlineStr"/>
      <c r="F57" s="15" t="inlineStr">
        <is>
          <t>1~4</t>
        </is>
      </c>
      <c r="G57" s="15" t="inlineStr">
        <is>
          <t>1 전혀 걱정 안 함 ~ 4 매우 걱정</t>
        </is>
      </c>
    </row>
    <row r="58">
      <c r="A58" s="15" t="inlineStr">
        <is>
          <t>kfes16_post</t>
        </is>
      </c>
      <c r="B58" s="15" t="inlineStr">
        <is>
          <t>KFES-I 16번 문항 사후</t>
        </is>
      </c>
      <c r="C58" s="15" t="inlineStr">
        <is>
          <t>사후</t>
        </is>
      </c>
      <c r="D58" s="15" t="inlineStr">
        <is>
          <t>정수</t>
        </is>
      </c>
      <c r="E58" s="15" t="inlineStr"/>
      <c r="F58" s="15" t="inlineStr">
        <is>
          <t>1~4</t>
        </is>
      </c>
      <c r="G58" s="15" t="inlineStr">
        <is>
          <t>1 전혀 걱정 안 함 ~ 4 매우 걱정</t>
        </is>
      </c>
    </row>
    <row r="59">
      <c r="A59" s="15" t="inlineStr">
        <is>
          <t>chair_post</t>
        </is>
      </c>
      <c r="B59" s="15" t="inlineStr">
        <is>
          <t>의자 일어서기 사후(회/30초)</t>
        </is>
      </c>
      <c r="C59" s="15" t="inlineStr">
        <is>
          <t>사후</t>
        </is>
      </c>
      <c r="D59" s="15" t="inlineStr">
        <is>
          <t>정수</t>
        </is>
      </c>
      <c r="E59" s="15" t="inlineStr"/>
      <c r="F59" s="15" t="inlineStr">
        <is>
          <t>0~40</t>
        </is>
      </c>
      <c r="G59" s="15" t="inlineStr">
        <is>
          <t>30초 동안 완전히 일어선 횟수</t>
        </is>
      </c>
    </row>
    <row r="60">
      <c r="A60" s="15" t="inlineStr">
        <is>
          <t>curl_post</t>
        </is>
      </c>
      <c r="B60" s="15" t="inlineStr">
        <is>
          <t>팔 굽히기 사후(회/30초)</t>
        </is>
      </c>
      <c r="C60" s="15" t="inlineStr">
        <is>
          <t>사후</t>
        </is>
      </c>
      <c r="D60" s="15" t="inlineStr">
        <is>
          <t>정수</t>
        </is>
      </c>
      <c r="E60" s="15" t="inlineStr"/>
      <c r="F60" s="15" t="inlineStr">
        <is>
          <t>0~50</t>
        </is>
      </c>
      <c r="G60" s="15" t="inlineStr">
        <is>
          <t>30초 동안 덤벨 들기 횟수</t>
        </is>
      </c>
    </row>
    <row r="61">
      <c r="A61" s="15" t="inlineStr">
        <is>
          <t>step_post</t>
        </is>
      </c>
      <c r="B61" s="15" t="inlineStr">
        <is>
          <t>2분 제자리 걷기 사후(회)</t>
        </is>
      </c>
      <c r="C61" s="15" t="inlineStr">
        <is>
          <t>사후</t>
        </is>
      </c>
      <c r="D61" s="15" t="inlineStr">
        <is>
          <t>정수</t>
        </is>
      </c>
      <c r="E61" s="15" t="inlineStr"/>
      <c r="F61" s="15" t="inlineStr">
        <is>
          <t>0~200</t>
        </is>
      </c>
      <c r="G61" s="15" t="inlineStr">
        <is>
          <t>2분 동안 오른쪽 무릎이 기준 높이에 닿은 횟수</t>
        </is>
      </c>
    </row>
    <row r="62">
      <c r="A62" s="15" t="inlineStr">
        <is>
          <t>bs1_post</t>
        </is>
      </c>
      <c r="B62" s="15" t="inlineStr">
        <is>
          <t>등 뒤로 손잡기 사후 1회(cm)</t>
        </is>
      </c>
      <c r="C62" s="15" t="inlineStr">
        <is>
          <t>사후</t>
        </is>
      </c>
      <c r="D62" s="15" t="inlineStr">
        <is>
          <t>숫자(소수 1자리까지)</t>
        </is>
      </c>
      <c r="E62" s="15" t="inlineStr"/>
      <c r="F62" s="15" t="inlineStr">
        <is>
          <t>-60~30</t>
        </is>
      </c>
      <c r="G62" s="15" t="inlineStr">
        <is>
          <t>닿지 않으면 -, 겹치면 +</t>
        </is>
      </c>
    </row>
    <row r="63">
      <c r="A63" s="15" t="inlineStr">
        <is>
          <t>bs2_post</t>
        </is>
      </c>
      <c r="B63" s="15" t="inlineStr">
        <is>
          <t>등 뒤로 손잡기 사후 2회(cm)</t>
        </is>
      </c>
      <c r="C63" s="15" t="inlineStr">
        <is>
          <t>사후</t>
        </is>
      </c>
      <c r="D63" s="15" t="inlineStr">
        <is>
          <t>숫자(소수 1자리까지)</t>
        </is>
      </c>
      <c r="E63" s="15" t="inlineStr"/>
      <c r="F63" s="15" t="inlineStr">
        <is>
          <t>-60~30</t>
        </is>
      </c>
      <c r="G63" s="15" t="inlineStr">
        <is>
          <t>2회 기록이 없으면 비움</t>
        </is>
      </c>
    </row>
    <row r="64">
      <c r="A64" s="15" t="inlineStr">
        <is>
          <t>sr1_post</t>
        </is>
      </c>
      <c r="B64" s="15" t="inlineStr">
        <is>
          <t>의자에 앉아 윗몸 앞으로 굽히기 사후 1회(cm)</t>
        </is>
      </c>
      <c r="C64" s="15" t="inlineStr">
        <is>
          <t>사후</t>
        </is>
      </c>
      <c r="D64" s="15" t="inlineStr">
        <is>
          <t>숫자(소수 1자리까지)</t>
        </is>
      </c>
      <c r="E64" s="15" t="inlineStr"/>
      <c r="F64" s="15" t="inlineStr">
        <is>
          <t>-40~30</t>
        </is>
      </c>
      <c r="G64" s="15" t="inlineStr">
        <is>
          <t>발끝 못 미치면 -, 지나면 +</t>
        </is>
      </c>
    </row>
    <row r="65">
      <c r="A65" s="15" t="inlineStr">
        <is>
          <t>sr2_post</t>
        </is>
      </c>
      <c r="B65" s="15" t="inlineStr">
        <is>
          <t>의자에 앉아 윗몸 앞으로 굽히기 사후 2회(cm)</t>
        </is>
      </c>
      <c r="C65" s="15" t="inlineStr">
        <is>
          <t>사후</t>
        </is>
      </c>
      <c r="D65" s="15" t="inlineStr">
        <is>
          <t>숫자(소수 1자리까지)</t>
        </is>
      </c>
      <c r="E65" s="15" t="inlineStr"/>
      <c r="F65" s="15" t="inlineStr">
        <is>
          <t>-40~30</t>
        </is>
      </c>
      <c r="G65" s="15" t="inlineStr">
        <is>
          <t>2회 기록이 없으면 비움</t>
        </is>
      </c>
    </row>
    <row r="66">
      <c r="A66" s="15" t="inlineStr">
        <is>
          <t>tug1_post</t>
        </is>
      </c>
      <c r="B66" s="15" t="inlineStr">
        <is>
          <t>2.44 m 갔다 오기 사후 1회(초)</t>
        </is>
      </c>
      <c r="C66" s="15" t="inlineStr">
        <is>
          <t>사후</t>
        </is>
      </c>
      <c r="D66" s="15" t="inlineStr">
        <is>
          <t>숫자(소수 2자리까지)</t>
        </is>
      </c>
      <c r="E66" s="15" t="inlineStr"/>
      <c r="F66" s="15" t="inlineStr">
        <is>
          <t>2~60</t>
        </is>
      </c>
      <c r="G66" s="15" t="inlineStr">
        <is>
          <t>초, 기록지에 적힌 자리수 그대로</t>
        </is>
      </c>
    </row>
    <row r="67">
      <c r="A67" s="15" t="inlineStr">
        <is>
          <t>tug2_post</t>
        </is>
      </c>
      <c r="B67" s="15" t="inlineStr">
        <is>
          <t>2.44 m 갔다 오기 사후 2회(초)</t>
        </is>
      </c>
      <c r="C67" s="15" t="inlineStr">
        <is>
          <t>사후</t>
        </is>
      </c>
      <c r="D67" s="15" t="inlineStr">
        <is>
          <t>숫자(소수 2자리까지)</t>
        </is>
      </c>
      <c r="E67" s="15" t="inlineStr"/>
      <c r="F67" s="15" t="inlineStr">
        <is>
          <t>2~60</t>
        </is>
      </c>
      <c r="G67" s="15" t="inlineStr">
        <is>
          <t>2회 기록이 없으면 비움</t>
        </is>
      </c>
    </row>
    <row r="68">
      <c r="A68" s="15" t="inlineStr">
        <is>
          <t>note</t>
        </is>
      </c>
      <c r="B68" s="15" t="inlineStr">
        <is>
          <t>비고</t>
        </is>
      </c>
      <c r="C68" s="15" t="inlineStr">
        <is>
          <t>기본</t>
        </is>
      </c>
      <c r="D68" s="15" t="inlineStr">
        <is>
          <t>문자</t>
        </is>
      </c>
      <c r="E68" s="15" t="inlineStr"/>
      <c r="F68" s="15" t="inlineStr"/>
      <c r="G68" s="15" t="inlineStr">
        <is>
          <t>기록지 특이사항(수정 흔적, 판독 불가 등)</t>
        </is>
      </c>
    </row>
    <row r="69">
      <c r="A69" s="15" t="n"/>
      <c r="B69" s="15" t="n"/>
      <c r="C69" s="15" t="n"/>
      <c r="D69" s="15" t="n"/>
      <c r="E69" s="15" t="n"/>
      <c r="F69" s="15" t="n"/>
      <c r="G69" s="15" t="n"/>
    </row>
    <row r="70">
      <c r="A70" s="15" t="inlineStr">
        <is>
          <t>분석 때 계산되는 변수(입력하지 않음)</t>
        </is>
      </c>
      <c r="B70" s="15" t="n"/>
      <c r="C70" s="15" t="n"/>
      <c r="D70" s="15" t="n"/>
      <c r="E70" s="15" t="n"/>
      <c r="F70" s="15" t="n"/>
      <c r="G70" s="15" t="n"/>
    </row>
    <row r="71">
      <c r="A71" s="15" t="inlineStr">
        <is>
          <t>kfes_pre / kfes_post</t>
        </is>
      </c>
      <c r="B71" s="15" t="inlineStr">
        <is>
          <t>낙상효능감(KFES-I)</t>
        </is>
      </c>
      <c r="C71" s="15" t="inlineStr"/>
      <c r="D71" s="15" t="inlineStr">
        <is>
          <t>계산</t>
        </is>
      </c>
      <c r="E71" s="15" t="inlineStr">
        <is>
          <t>사전 = SUM.16(kfes01_pre TO kfes16_pre)</t>
        </is>
      </c>
      <c r="F71" s="15" t="inlineStr">
        <is>
          <t>사후 = SUM.16(kfes01_post TO kfes16_post)</t>
        </is>
      </c>
      <c r="G71" s="15" t="inlineStr"/>
    </row>
    <row r="72">
      <c r="A72" s="15" t="inlineStr">
        <is>
          <t>chair_pre / chair_post</t>
        </is>
      </c>
      <c r="B72" s="15" t="inlineStr">
        <is>
          <t>의자 일어서기</t>
        </is>
      </c>
      <c r="C72" s="15" t="inlineStr"/>
      <c r="D72" s="15" t="inlineStr">
        <is>
          <t>계산</t>
        </is>
      </c>
      <c r="E72" s="15" t="inlineStr">
        <is>
          <t>사전 = chair_pre</t>
        </is>
      </c>
      <c r="F72" s="15" t="inlineStr">
        <is>
          <t>사후 = chair_post</t>
        </is>
      </c>
      <c r="G72" s="15" t="inlineStr"/>
    </row>
    <row r="73">
      <c r="A73" s="15" t="inlineStr">
        <is>
          <t>curl_pre / curl_post</t>
        </is>
      </c>
      <c r="B73" s="15" t="inlineStr">
        <is>
          <t>팔 굽히기</t>
        </is>
      </c>
      <c r="C73" s="15" t="inlineStr"/>
      <c r="D73" s="15" t="inlineStr">
        <is>
          <t>계산</t>
        </is>
      </c>
      <c r="E73" s="15" t="inlineStr">
        <is>
          <t>사전 = curl_pre</t>
        </is>
      </c>
      <c r="F73" s="15" t="inlineStr">
        <is>
          <t>사후 = curl_post</t>
        </is>
      </c>
      <c r="G73" s="15" t="inlineStr"/>
    </row>
    <row r="74">
      <c r="A74" s="15" t="inlineStr">
        <is>
          <t>bs_pre / bs_post</t>
        </is>
      </c>
      <c r="B74" s="15" t="inlineStr">
        <is>
          <t>등 뒤로 손잡기</t>
        </is>
      </c>
      <c r="C74" s="15" t="inlineStr"/>
      <c r="D74" s="15" t="inlineStr">
        <is>
          <t>계산</t>
        </is>
      </c>
      <c r="E74" s="15" t="inlineStr">
        <is>
          <t>사전 = MAX(bs1_pre, bs2_pre)</t>
        </is>
      </c>
      <c r="F74" s="15" t="inlineStr">
        <is>
          <t>사후 = MAX(bs1_post, bs2_post)</t>
        </is>
      </c>
      <c r="G74" s="15" t="inlineStr"/>
    </row>
    <row r="75">
      <c r="A75" s="15" t="inlineStr">
        <is>
          <t>sr_pre / sr_post</t>
        </is>
      </c>
      <c r="B75" s="15" t="inlineStr">
        <is>
          <t>의자에 앉아 윗몸 앞으로 굽히기</t>
        </is>
      </c>
      <c r="C75" s="15" t="inlineStr"/>
      <c r="D75" s="15" t="inlineStr">
        <is>
          <t>계산</t>
        </is>
      </c>
      <c r="E75" s="15" t="inlineStr">
        <is>
          <t>사전 = MAX(sr1_pre, sr2_pre)</t>
        </is>
      </c>
      <c r="F75" s="15" t="inlineStr">
        <is>
          <t>사후 = MAX(sr1_post, sr2_post)</t>
        </is>
      </c>
      <c r="G75" s="15" t="inlineStr"/>
    </row>
    <row r="76">
      <c r="A76" s="15" t="inlineStr">
        <is>
          <t>step_pre / step_post</t>
        </is>
      </c>
      <c r="B76" s="15" t="inlineStr">
        <is>
          <t>2분 제자리 걷기</t>
        </is>
      </c>
      <c r="C76" s="15" t="inlineStr"/>
      <c r="D76" s="15" t="inlineStr">
        <is>
          <t>계산</t>
        </is>
      </c>
      <c r="E76" s="15" t="inlineStr">
        <is>
          <t>사전 = step_pre</t>
        </is>
      </c>
      <c r="F76" s="15" t="inlineStr">
        <is>
          <t>사후 = step_post</t>
        </is>
      </c>
      <c r="G76" s="15" t="inlineStr"/>
    </row>
    <row r="77">
      <c r="A77" s="15" t="inlineStr">
        <is>
          <t>tug_pre / tug_post</t>
        </is>
      </c>
      <c r="B77" s="15" t="inlineStr">
        <is>
          <t>2.44 m 갔다 오기</t>
        </is>
      </c>
      <c r="C77" s="15" t="inlineStr"/>
      <c r="D77" s="15" t="inlineStr">
        <is>
          <t>계산</t>
        </is>
      </c>
      <c r="E77" s="15" t="inlineStr">
        <is>
          <t>사전 = MIN(tug1_pre, tug2_pre)</t>
        </is>
      </c>
      <c r="F77" s="15" t="inlineStr">
        <is>
          <t>사후 = MIN(tug1_post, tug2_post)</t>
        </is>
      </c>
      <c r="G77" s="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45" customHeight="1">
      <c r="A1" s="16" t="inlineStr">
        <is>
          <t>id</t>
        </is>
      </c>
      <c r="B1" s="16" t="inlineStr">
        <is>
          <t>group</t>
        </is>
      </c>
      <c r="C1" s="16" t="inlineStr">
        <is>
          <t>incl</t>
        </is>
      </c>
      <c r="D1" s="16" t="inlineStr">
        <is>
          <t>KFES 사전 문항 수</t>
        </is>
      </c>
      <c r="E1" s="16" t="inlineStr">
        <is>
          <t>KFES 사후 문항 수</t>
        </is>
      </c>
      <c r="F1" s="16" t="inlineStr">
        <is>
          <t>KFES 사전 총점</t>
        </is>
      </c>
      <c r="G1" s="16" t="inlineStr">
        <is>
          <t>KFES 사후 총점</t>
        </is>
      </c>
      <c r="H1" s="16" t="inlineStr">
        <is>
          <t>등뒤 사전 최고</t>
        </is>
      </c>
      <c r="I1" s="16" t="inlineStr">
        <is>
          <t>등뒤 사후 최고</t>
        </is>
      </c>
      <c r="J1" s="16" t="inlineStr">
        <is>
          <t>앉아 사전 최고</t>
        </is>
      </c>
      <c r="K1" s="16" t="inlineStr">
        <is>
          <t>앉아 사후 최고</t>
        </is>
      </c>
      <c r="L1" s="16" t="inlineStr">
        <is>
          <t>2.44 사전 최고</t>
        </is>
      </c>
      <c r="M1" s="16" t="inlineStr">
        <is>
          <t>2.44 사후 최고</t>
        </is>
      </c>
      <c r="N1" s="16" t="inlineStr">
        <is>
          <t>사전=사후 같은 항목 수(7개 중)</t>
        </is>
      </c>
      <c r="O1" s="16" t="inlineStr">
        <is>
          <t>포함 대상 빈칸 수</t>
        </is>
      </c>
    </row>
    <row r="2">
      <c r="A2">
        <f>IF(data!A2="","",data!A2)</f>
        <v/>
      </c>
      <c r="B2">
        <f>IF(data!B2="","",data!B2)</f>
        <v/>
      </c>
      <c r="C2">
        <f>IF(data!D2="","",data!D2)</f>
        <v/>
      </c>
      <c r="D2">
        <f>IF(data!A2="","",COUNT(data!O2:AD2))</f>
        <v/>
      </c>
      <c r="E2">
        <f>IF(data!A2="","",COUNT(data!AP2:BE2))</f>
        <v/>
      </c>
      <c r="F2">
        <f>IF(data!A2="","",IF(COUNT(data!O2:AD2)=16,SUM(data!O2:AD2),""))</f>
        <v/>
      </c>
      <c r="G2">
        <f>IF(data!A2="","",IF(COUNT(data!AP2:BE2)=16,SUM(data!AP2:BE2),""))</f>
        <v/>
      </c>
      <c r="H2">
        <f>IF(COUNT(data!AH2,data!AI2)=0,"",MAX(data!AH2,data!AI2))</f>
        <v/>
      </c>
      <c r="I2">
        <f>IF(COUNT(data!BI2,data!BJ2)=0,"",MAX(data!BI2,data!BJ2))</f>
        <v/>
      </c>
      <c r="J2">
        <f>IF(COUNT(data!AJ2,data!AK2)=0,"",MAX(data!AJ2,data!AK2))</f>
        <v/>
      </c>
      <c r="K2">
        <f>IF(COUNT(data!BK2,data!BL2)=0,"",MAX(data!BK2,data!BL2))</f>
        <v/>
      </c>
      <c r="L2">
        <f>IF(COUNT(data!AL2,data!AM2)=0,"",MIN(data!AL2,data!AM2))</f>
        <v/>
      </c>
      <c r="M2">
        <f>IF(COUNT(data!BM2,data!BN2)=0,"",MIN(data!BM2,data!BN2))</f>
        <v/>
      </c>
      <c r="N2">
        <f>IF(data!A2="","",IF(OR(F2="",G2=""),0,--(F2=G2))+IF(OR(data!AE2="",data!BF2=""),0,--(data!AE2=data!BF2))+IF(OR(data!AF2="",data!BG2=""),0,--(data!AF2=data!BG2))+IF(OR(data!AG2="",data!BH2=""),0,--(data!AG2=data!BH2))+IF(OR(H2="",I2=""),0,--(H2=I2))+IF(OR(J2="",K2=""),0,--(J2=K2))+IF(OR(L2="",M2=""),0,--(L2=M2)))</f>
        <v/>
      </c>
      <c r="O2">
        <f>IF(data!D2&lt;&gt;1,"",--(data!O2="")+--(data!P2="")+--(data!Q2="")+--(data!R2="")+--(data!S2="")+--(data!T2="")+--(data!U2="")+--(data!V2="")+--(data!W2="")+--(data!X2="")+--(data!Y2="")+--(data!Z2="")+--(data!AA2="")+--(data!AB2="")+--(data!AC2="")+--(data!AD2="")+--(data!AE2="")+--(data!AF2="")+--(data!AG2="")+--(data!AH2="")+--(data!AJ2="")+--(data!AL2="")+--(data!AP2="")+--(data!AQ2="")+--(data!AR2="")+--(data!AS2="")+--(data!AT2="")+--(data!AU2="")+--(data!AV2="")+--(data!AW2="")+--(data!AX2="")+--(data!AY2="")+--(data!AZ2="")+--(data!BA2="")+--(data!BB2="")+--(data!BC2="")+--(data!BD2="")+--(data!BE2="")+--(data!BF2="")+--(data!BG2="")+--(data!BH2="")+--(data!BI2="")+--(data!BK2="")+--(data!BM2="")+--(data!J2="")+--(data!K2="")+--(data!L2=""))</f>
        <v/>
      </c>
    </row>
    <row r="3">
      <c r="A3">
        <f>IF(data!A3="","",data!A3)</f>
        <v/>
      </c>
      <c r="B3">
        <f>IF(data!B3="","",data!B3)</f>
        <v/>
      </c>
      <c r="C3">
        <f>IF(data!D3="","",data!D3)</f>
        <v/>
      </c>
      <c r="D3">
        <f>IF(data!A3="","",COUNT(data!O3:AD3))</f>
        <v/>
      </c>
      <c r="E3">
        <f>IF(data!A3="","",COUNT(data!AP3:BE3))</f>
        <v/>
      </c>
      <c r="F3">
        <f>IF(data!A3="","",IF(COUNT(data!O3:AD3)=16,SUM(data!O3:AD3),""))</f>
        <v/>
      </c>
      <c r="G3">
        <f>IF(data!A3="","",IF(COUNT(data!AP3:BE3)=16,SUM(data!AP3:BE3),""))</f>
        <v/>
      </c>
      <c r="H3">
        <f>IF(COUNT(data!AH3,data!AI3)=0,"",MAX(data!AH3,data!AI3))</f>
        <v/>
      </c>
      <c r="I3">
        <f>IF(COUNT(data!BI3,data!BJ3)=0,"",MAX(data!BI3,data!BJ3))</f>
        <v/>
      </c>
      <c r="J3">
        <f>IF(COUNT(data!AJ3,data!AK3)=0,"",MAX(data!AJ3,data!AK3))</f>
        <v/>
      </c>
      <c r="K3">
        <f>IF(COUNT(data!BK3,data!BL3)=0,"",MAX(data!BK3,data!BL3))</f>
        <v/>
      </c>
      <c r="L3">
        <f>IF(COUNT(data!AL3,data!AM3)=0,"",MIN(data!AL3,data!AM3))</f>
        <v/>
      </c>
      <c r="M3">
        <f>IF(COUNT(data!BM3,data!BN3)=0,"",MIN(data!BM3,data!BN3))</f>
        <v/>
      </c>
      <c r="N3">
        <f>IF(data!A3="","",IF(OR(F3="",G3=""),0,--(F3=G3))+IF(OR(data!AE3="",data!BF3=""),0,--(data!AE3=data!BF3))+IF(OR(data!AF3="",data!BG3=""),0,--(data!AF3=data!BG3))+IF(OR(data!AG3="",data!BH3=""),0,--(data!AG3=data!BH3))+IF(OR(H3="",I3=""),0,--(H3=I3))+IF(OR(J3="",K3=""),0,--(J3=K3))+IF(OR(L3="",M3=""),0,--(L3=M3)))</f>
        <v/>
      </c>
      <c r="O3">
        <f>IF(data!D3&lt;&gt;1,"",--(data!O3="")+--(data!P3="")+--(data!Q3="")+--(data!R3="")+--(data!S3="")+--(data!T3="")+--(data!U3="")+--(data!V3="")+--(data!W3="")+--(data!X3="")+--(data!Y3="")+--(data!Z3="")+--(data!AA3="")+--(data!AB3="")+--(data!AC3="")+--(data!AD3="")+--(data!AE3="")+--(data!AF3="")+--(data!AG3="")+--(data!AH3="")+--(data!AJ3="")+--(data!AL3="")+--(data!AP3="")+--(data!AQ3="")+--(data!AR3="")+--(data!AS3="")+--(data!AT3="")+--(data!AU3="")+--(data!AV3="")+--(data!AW3="")+--(data!AX3="")+--(data!AY3="")+--(data!AZ3="")+--(data!BA3="")+--(data!BB3="")+--(data!BC3="")+--(data!BD3="")+--(data!BE3="")+--(data!BF3="")+--(data!BG3="")+--(data!BH3="")+--(data!BI3="")+--(data!BK3="")+--(data!BM3="")+--(data!J3="")+--(data!K3="")+--(data!L3=""))</f>
        <v/>
      </c>
    </row>
    <row r="4">
      <c r="A4">
        <f>IF(data!A4="","",data!A4)</f>
        <v/>
      </c>
      <c r="B4">
        <f>IF(data!B4="","",data!B4)</f>
        <v/>
      </c>
      <c r="C4">
        <f>IF(data!D4="","",data!D4)</f>
        <v/>
      </c>
      <c r="D4">
        <f>IF(data!A4="","",COUNT(data!O4:AD4))</f>
        <v/>
      </c>
      <c r="E4">
        <f>IF(data!A4="","",COUNT(data!AP4:BE4))</f>
        <v/>
      </c>
      <c r="F4">
        <f>IF(data!A4="","",IF(COUNT(data!O4:AD4)=16,SUM(data!O4:AD4),""))</f>
        <v/>
      </c>
      <c r="G4">
        <f>IF(data!A4="","",IF(COUNT(data!AP4:BE4)=16,SUM(data!AP4:BE4),""))</f>
        <v/>
      </c>
      <c r="H4">
        <f>IF(COUNT(data!AH4,data!AI4)=0,"",MAX(data!AH4,data!AI4))</f>
        <v/>
      </c>
      <c r="I4">
        <f>IF(COUNT(data!BI4,data!BJ4)=0,"",MAX(data!BI4,data!BJ4))</f>
        <v/>
      </c>
      <c r="J4">
        <f>IF(COUNT(data!AJ4,data!AK4)=0,"",MAX(data!AJ4,data!AK4))</f>
        <v/>
      </c>
      <c r="K4">
        <f>IF(COUNT(data!BK4,data!BL4)=0,"",MAX(data!BK4,data!BL4))</f>
        <v/>
      </c>
      <c r="L4">
        <f>IF(COUNT(data!AL4,data!AM4)=0,"",MIN(data!AL4,data!AM4))</f>
        <v/>
      </c>
      <c r="M4">
        <f>IF(COUNT(data!BM4,data!BN4)=0,"",MIN(data!BM4,data!BN4))</f>
        <v/>
      </c>
      <c r="N4">
        <f>IF(data!A4="","",IF(OR(F4="",G4=""),0,--(F4=G4))+IF(OR(data!AE4="",data!BF4=""),0,--(data!AE4=data!BF4))+IF(OR(data!AF4="",data!BG4=""),0,--(data!AF4=data!BG4))+IF(OR(data!AG4="",data!BH4=""),0,--(data!AG4=data!BH4))+IF(OR(H4="",I4=""),0,--(H4=I4))+IF(OR(J4="",K4=""),0,--(J4=K4))+IF(OR(L4="",M4=""),0,--(L4=M4)))</f>
        <v/>
      </c>
      <c r="O4">
        <f>IF(data!D4&lt;&gt;1,"",--(data!O4="")+--(data!P4="")+--(data!Q4="")+--(data!R4="")+--(data!S4="")+--(data!T4="")+--(data!U4="")+--(data!V4="")+--(data!W4="")+--(data!X4="")+--(data!Y4="")+--(data!Z4="")+--(data!AA4="")+--(data!AB4="")+--(data!AC4="")+--(data!AD4="")+--(data!AE4="")+--(data!AF4="")+--(data!AG4="")+--(data!AH4="")+--(data!AJ4="")+--(data!AL4="")+--(data!AP4="")+--(data!AQ4="")+--(data!AR4="")+--(data!AS4="")+--(data!AT4="")+--(data!AU4="")+--(data!AV4="")+--(data!AW4="")+--(data!AX4="")+--(data!AY4="")+--(data!AZ4="")+--(data!BA4="")+--(data!BB4="")+--(data!BC4="")+--(data!BD4="")+--(data!BE4="")+--(data!BF4="")+--(data!BG4="")+--(data!BH4="")+--(data!BI4="")+--(data!BK4="")+--(data!BM4="")+--(data!J4="")+--(data!K4="")+--(data!L4=""))</f>
        <v/>
      </c>
    </row>
    <row r="5">
      <c r="A5">
        <f>IF(data!A5="","",data!A5)</f>
        <v/>
      </c>
      <c r="B5">
        <f>IF(data!B5="","",data!B5)</f>
        <v/>
      </c>
      <c r="C5">
        <f>IF(data!D5="","",data!D5)</f>
        <v/>
      </c>
      <c r="D5">
        <f>IF(data!A5="","",COUNT(data!O5:AD5))</f>
        <v/>
      </c>
      <c r="E5">
        <f>IF(data!A5="","",COUNT(data!AP5:BE5))</f>
        <v/>
      </c>
      <c r="F5">
        <f>IF(data!A5="","",IF(COUNT(data!O5:AD5)=16,SUM(data!O5:AD5),""))</f>
        <v/>
      </c>
      <c r="G5">
        <f>IF(data!A5="","",IF(COUNT(data!AP5:BE5)=16,SUM(data!AP5:BE5),""))</f>
        <v/>
      </c>
      <c r="H5">
        <f>IF(COUNT(data!AH5,data!AI5)=0,"",MAX(data!AH5,data!AI5))</f>
        <v/>
      </c>
      <c r="I5">
        <f>IF(COUNT(data!BI5,data!BJ5)=0,"",MAX(data!BI5,data!BJ5))</f>
        <v/>
      </c>
      <c r="J5">
        <f>IF(COUNT(data!AJ5,data!AK5)=0,"",MAX(data!AJ5,data!AK5))</f>
        <v/>
      </c>
      <c r="K5">
        <f>IF(COUNT(data!BK5,data!BL5)=0,"",MAX(data!BK5,data!BL5))</f>
        <v/>
      </c>
      <c r="L5">
        <f>IF(COUNT(data!AL5,data!AM5)=0,"",MIN(data!AL5,data!AM5))</f>
        <v/>
      </c>
      <c r="M5">
        <f>IF(COUNT(data!BM5,data!BN5)=0,"",MIN(data!BM5,data!BN5))</f>
        <v/>
      </c>
      <c r="N5">
        <f>IF(data!A5="","",IF(OR(F5="",G5=""),0,--(F5=G5))+IF(OR(data!AE5="",data!BF5=""),0,--(data!AE5=data!BF5))+IF(OR(data!AF5="",data!BG5=""),0,--(data!AF5=data!BG5))+IF(OR(data!AG5="",data!BH5=""),0,--(data!AG5=data!BH5))+IF(OR(H5="",I5=""),0,--(H5=I5))+IF(OR(J5="",K5=""),0,--(J5=K5))+IF(OR(L5="",M5=""),0,--(L5=M5)))</f>
        <v/>
      </c>
      <c r="O5">
        <f>IF(data!D5&lt;&gt;1,"",--(data!O5="")+--(data!P5="")+--(data!Q5="")+--(data!R5="")+--(data!S5="")+--(data!T5="")+--(data!U5="")+--(data!V5="")+--(data!W5="")+--(data!X5="")+--(data!Y5="")+--(data!Z5="")+--(data!AA5="")+--(data!AB5="")+--(data!AC5="")+--(data!AD5="")+--(data!AE5="")+--(data!AF5="")+--(data!AG5="")+--(data!AH5="")+--(data!AJ5="")+--(data!AL5="")+--(data!AP5="")+--(data!AQ5="")+--(data!AR5="")+--(data!AS5="")+--(data!AT5="")+--(data!AU5="")+--(data!AV5="")+--(data!AW5="")+--(data!AX5="")+--(data!AY5="")+--(data!AZ5="")+--(data!BA5="")+--(data!BB5="")+--(data!BC5="")+--(data!BD5="")+--(data!BE5="")+--(data!BF5="")+--(data!BG5="")+--(data!BH5="")+--(data!BI5="")+--(data!BK5="")+--(data!BM5="")+--(data!J5="")+--(data!K5="")+--(data!L5=""))</f>
        <v/>
      </c>
    </row>
    <row r="6">
      <c r="A6">
        <f>IF(data!A6="","",data!A6)</f>
        <v/>
      </c>
      <c r="B6">
        <f>IF(data!B6="","",data!B6)</f>
        <v/>
      </c>
      <c r="C6">
        <f>IF(data!D6="","",data!D6)</f>
        <v/>
      </c>
      <c r="D6">
        <f>IF(data!A6="","",COUNT(data!O6:AD6))</f>
        <v/>
      </c>
      <c r="E6">
        <f>IF(data!A6="","",COUNT(data!AP6:BE6))</f>
        <v/>
      </c>
      <c r="F6">
        <f>IF(data!A6="","",IF(COUNT(data!O6:AD6)=16,SUM(data!O6:AD6),""))</f>
        <v/>
      </c>
      <c r="G6">
        <f>IF(data!A6="","",IF(COUNT(data!AP6:BE6)=16,SUM(data!AP6:BE6),""))</f>
        <v/>
      </c>
      <c r="H6">
        <f>IF(COUNT(data!AH6,data!AI6)=0,"",MAX(data!AH6,data!AI6))</f>
        <v/>
      </c>
      <c r="I6">
        <f>IF(COUNT(data!BI6,data!BJ6)=0,"",MAX(data!BI6,data!BJ6))</f>
        <v/>
      </c>
      <c r="J6">
        <f>IF(COUNT(data!AJ6,data!AK6)=0,"",MAX(data!AJ6,data!AK6))</f>
        <v/>
      </c>
      <c r="K6">
        <f>IF(COUNT(data!BK6,data!BL6)=0,"",MAX(data!BK6,data!BL6))</f>
        <v/>
      </c>
      <c r="L6">
        <f>IF(COUNT(data!AL6,data!AM6)=0,"",MIN(data!AL6,data!AM6))</f>
        <v/>
      </c>
      <c r="M6">
        <f>IF(COUNT(data!BM6,data!BN6)=0,"",MIN(data!BM6,data!BN6))</f>
        <v/>
      </c>
      <c r="N6">
        <f>IF(data!A6="","",IF(OR(F6="",G6=""),0,--(F6=G6))+IF(OR(data!AE6="",data!BF6=""),0,--(data!AE6=data!BF6))+IF(OR(data!AF6="",data!BG6=""),0,--(data!AF6=data!BG6))+IF(OR(data!AG6="",data!BH6=""),0,--(data!AG6=data!BH6))+IF(OR(H6="",I6=""),0,--(H6=I6))+IF(OR(J6="",K6=""),0,--(J6=K6))+IF(OR(L6="",M6=""),0,--(L6=M6)))</f>
        <v/>
      </c>
      <c r="O6">
        <f>IF(data!D6&lt;&gt;1,"",--(data!O6="")+--(data!P6="")+--(data!Q6="")+--(data!R6="")+--(data!S6="")+--(data!T6="")+--(data!U6="")+--(data!V6="")+--(data!W6="")+--(data!X6="")+--(data!Y6="")+--(data!Z6="")+--(data!AA6="")+--(data!AB6="")+--(data!AC6="")+--(data!AD6="")+--(data!AE6="")+--(data!AF6="")+--(data!AG6="")+--(data!AH6="")+--(data!AJ6="")+--(data!AL6="")+--(data!AP6="")+--(data!AQ6="")+--(data!AR6="")+--(data!AS6="")+--(data!AT6="")+--(data!AU6="")+--(data!AV6="")+--(data!AW6="")+--(data!AX6="")+--(data!AY6="")+--(data!AZ6="")+--(data!BA6="")+--(data!BB6="")+--(data!BC6="")+--(data!BD6="")+--(data!BE6="")+--(data!BF6="")+--(data!BG6="")+--(data!BH6="")+--(data!BI6="")+--(data!BK6="")+--(data!BM6="")+--(data!J6="")+--(data!K6="")+--(data!L6=""))</f>
        <v/>
      </c>
    </row>
    <row r="7">
      <c r="A7">
        <f>IF(data!A7="","",data!A7)</f>
        <v/>
      </c>
      <c r="B7">
        <f>IF(data!B7="","",data!B7)</f>
        <v/>
      </c>
      <c r="C7">
        <f>IF(data!D7="","",data!D7)</f>
        <v/>
      </c>
      <c r="D7">
        <f>IF(data!A7="","",COUNT(data!O7:AD7))</f>
        <v/>
      </c>
      <c r="E7">
        <f>IF(data!A7="","",COUNT(data!AP7:BE7))</f>
        <v/>
      </c>
      <c r="F7">
        <f>IF(data!A7="","",IF(COUNT(data!O7:AD7)=16,SUM(data!O7:AD7),""))</f>
        <v/>
      </c>
      <c r="G7">
        <f>IF(data!A7="","",IF(COUNT(data!AP7:BE7)=16,SUM(data!AP7:BE7),""))</f>
        <v/>
      </c>
      <c r="H7">
        <f>IF(COUNT(data!AH7,data!AI7)=0,"",MAX(data!AH7,data!AI7))</f>
        <v/>
      </c>
      <c r="I7">
        <f>IF(COUNT(data!BI7,data!BJ7)=0,"",MAX(data!BI7,data!BJ7))</f>
        <v/>
      </c>
      <c r="J7">
        <f>IF(COUNT(data!AJ7,data!AK7)=0,"",MAX(data!AJ7,data!AK7))</f>
        <v/>
      </c>
      <c r="K7">
        <f>IF(COUNT(data!BK7,data!BL7)=0,"",MAX(data!BK7,data!BL7))</f>
        <v/>
      </c>
      <c r="L7">
        <f>IF(COUNT(data!AL7,data!AM7)=0,"",MIN(data!AL7,data!AM7))</f>
        <v/>
      </c>
      <c r="M7">
        <f>IF(COUNT(data!BM7,data!BN7)=0,"",MIN(data!BM7,data!BN7))</f>
        <v/>
      </c>
      <c r="N7">
        <f>IF(data!A7="","",IF(OR(F7="",G7=""),0,--(F7=G7))+IF(OR(data!AE7="",data!BF7=""),0,--(data!AE7=data!BF7))+IF(OR(data!AF7="",data!BG7=""),0,--(data!AF7=data!BG7))+IF(OR(data!AG7="",data!BH7=""),0,--(data!AG7=data!BH7))+IF(OR(H7="",I7=""),0,--(H7=I7))+IF(OR(J7="",K7=""),0,--(J7=K7))+IF(OR(L7="",M7=""),0,--(L7=M7)))</f>
        <v/>
      </c>
      <c r="O7">
        <f>IF(data!D7&lt;&gt;1,"",--(data!O7="")+--(data!P7="")+--(data!Q7="")+--(data!R7="")+--(data!S7="")+--(data!T7="")+--(data!U7="")+--(data!V7="")+--(data!W7="")+--(data!X7="")+--(data!Y7="")+--(data!Z7="")+--(data!AA7="")+--(data!AB7="")+--(data!AC7="")+--(data!AD7="")+--(data!AE7="")+--(data!AF7="")+--(data!AG7="")+--(data!AH7="")+--(data!AJ7="")+--(data!AL7="")+--(data!AP7="")+--(data!AQ7="")+--(data!AR7="")+--(data!AS7="")+--(data!AT7="")+--(data!AU7="")+--(data!AV7="")+--(data!AW7="")+--(data!AX7="")+--(data!AY7="")+--(data!AZ7="")+--(data!BA7="")+--(data!BB7="")+--(data!BC7="")+--(data!BD7="")+--(data!BE7="")+--(data!BF7="")+--(data!BG7="")+--(data!BH7="")+--(data!BI7="")+--(data!BK7="")+--(data!BM7="")+--(data!J7="")+--(data!K7="")+--(data!L7=""))</f>
        <v/>
      </c>
    </row>
    <row r="8">
      <c r="A8">
        <f>IF(data!A8="","",data!A8)</f>
        <v/>
      </c>
      <c r="B8">
        <f>IF(data!B8="","",data!B8)</f>
        <v/>
      </c>
      <c r="C8">
        <f>IF(data!D8="","",data!D8)</f>
        <v/>
      </c>
      <c r="D8">
        <f>IF(data!A8="","",COUNT(data!O8:AD8))</f>
        <v/>
      </c>
      <c r="E8">
        <f>IF(data!A8="","",COUNT(data!AP8:BE8))</f>
        <v/>
      </c>
      <c r="F8">
        <f>IF(data!A8="","",IF(COUNT(data!O8:AD8)=16,SUM(data!O8:AD8),""))</f>
        <v/>
      </c>
      <c r="G8">
        <f>IF(data!A8="","",IF(COUNT(data!AP8:BE8)=16,SUM(data!AP8:BE8),""))</f>
        <v/>
      </c>
      <c r="H8">
        <f>IF(COUNT(data!AH8,data!AI8)=0,"",MAX(data!AH8,data!AI8))</f>
        <v/>
      </c>
      <c r="I8">
        <f>IF(COUNT(data!BI8,data!BJ8)=0,"",MAX(data!BI8,data!BJ8))</f>
        <v/>
      </c>
      <c r="J8">
        <f>IF(COUNT(data!AJ8,data!AK8)=0,"",MAX(data!AJ8,data!AK8))</f>
        <v/>
      </c>
      <c r="K8">
        <f>IF(COUNT(data!BK8,data!BL8)=0,"",MAX(data!BK8,data!BL8))</f>
        <v/>
      </c>
      <c r="L8">
        <f>IF(COUNT(data!AL8,data!AM8)=0,"",MIN(data!AL8,data!AM8))</f>
        <v/>
      </c>
      <c r="M8">
        <f>IF(COUNT(data!BM8,data!BN8)=0,"",MIN(data!BM8,data!BN8))</f>
        <v/>
      </c>
      <c r="N8">
        <f>IF(data!A8="","",IF(OR(F8="",G8=""),0,--(F8=G8))+IF(OR(data!AE8="",data!BF8=""),0,--(data!AE8=data!BF8))+IF(OR(data!AF8="",data!BG8=""),0,--(data!AF8=data!BG8))+IF(OR(data!AG8="",data!BH8=""),0,--(data!AG8=data!BH8))+IF(OR(H8="",I8=""),0,--(H8=I8))+IF(OR(J8="",K8=""),0,--(J8=K8))+IF(OR(L8="",M8=""),0,--(L8=M8)))</f>
        <v/>
      </c>
      <c r="O8">
        <f>IF(data!D8&lt;&gt;1,"",--(data!O8="")+--(data!P8="")+--(data!Q8="")+--(data!R8="")+--(data!S8="")+--(data!T8="")+--(data!U8="")+--(data!V8="")+--(data!W8="")+--(data!X8="")+--(data!Y8="")+--(data!Z8="")+--(data!AA8="")+--(data!AB8="")+--(data!AC8="")+--(data!AD8="")+--(data!AE8="")+--(data!AF8="")+--(data!AG8="")+--(data!AH8="")+--(data!AJ8="")+--(data!AL8="")+--(data!AP8="")+--(data!AQ8="")+--(data!AR8="")+--(data!AS8="")+--(data!AT8="")+--(data!AU8="")+--(data!AV8="")+--(data!AW8="")+--(data!AX8="")+--(data!AY8="")+--(data!AZ8="")+--(data!BA8="")+--(data!BB8="")+--(data!BC8="")+--(data!BD8="")+--(data!BE8="")+--(data!BF8="")+--(data!BG8="")+--(data!BH8="")+--(data!BI8="")+--(data!BK8="")+--(data!BM8="")+--(data!J8="")+--(data!K8="")+--(data!L8=""))</f>
        <v/>
      </c>
    </row>
    <row r="9">
      <c r="A9">
        <f>IF(data!A9="","",data!A9)</f>
        <v/>
      </c>
      <c r="B9">
        <f>IF(data!B9="","",data!B9)</f>
        <v/>
      </c>
      <c r="C9">
        <f>IF(data!D9="","",data!D9)</f>
        <v/>
      </c>
      <c r="D9">
        <f>IF(data!A9="","",COUNT(data!O9:AD9))</f>
        <v/>
      </c>
      <c r="E9">
        <f>IF(data!A9="","",COUNT(data!AP9:BE9))</f>
        <v/>
      </c>
      <c r="F9">
        <f>IF(data!A9="","",IF(COUNT(data!O9:AD9)=16,SUM(data!O9:AD9),""))</f>
        <v/>
      </c>
      <c r="G9">
        <f>IF(data!A9="","",IF(COUNT(data!AP9:BE9)=16,SUM(data!AP9:BE9),""))</f>
        <v/>
      </c>
      <c r="H9">
        <f>IF(COUNT(data!AH9,data!AI9)=0,"",MAX(data!AH9,data!AI9))</f>
        <v/>
      </c>
      <c r="I9">
        <f>IF(COUNT(data!BI9,data!BJ9)=0,"",MAX(data!BI9,data!BJ9))</f>
        <v/>
      </c>
      <c r="J9">
        <f>IF(COUNT(data!AJ9,data!AK9)=0,"",MAX(data!AJ9,data!AK9))</f>
        <v/>
      </c>
      <c r="K9">
        <f>IF(COUNT(data!BK9,data!BL9)=0,"",MAX(data!BK9,data!BL9))</f>
        <v/>
      </c>
      <c r="L9">
        <f>IF(COUNT(data!AL9,data!AM9)=0,"",MIN(data!AL9,data!AM9))</f>
        <v/>
      </c>
      <c r="M9">
        <f>IF(COUNT(data!BM9,data!BN9)=0,"",MIN(data!BM9,data!BN9))</f>
        <v/>
      </c>
      <c r="N9">
        <f>IF(data!A9="","",IF(OR(F9="",G9=""),0,--(F9=G9))+IF(OR(data!AE9="",data!BF9=""),0,--(data!AE9=data!BF9))+IF(OR(data!AF9="",data!BG9=""),0,--(data!AF9=data!BG9))+IF(OR(data!AG9="",data!BH9=""),0,--(data!AG9=data!BH9))+IF(OR(H9="",I9=""),0,--(H9=I9))+IF(OR(J9="",K9=""),0,--(J9=K9))+IF(OR(L9="",M9=""),0,--(L9=M9)))</f>
        <v/>
      </c>
      <c r="O9">
        <f>IF(data!D9&lt;&gt;1,"",--(data!O9="")+--(data!P9="")+--(data!Q9="")+--(data!R9="")+--(data!S9="")+--(data!T9="")+--(data!U9="")+--(data!V9="")+--(data!W9="")+--(data!X9="")+--(data!Y9="")+--(data!Z9="")+--(data!AA9="")+--(data!AB9="")+--(data!AC9="")+--(data!AD9="")+--(data!AE9="")+--(data!AF9="")+--(data!AG9="")+--(data!AH9="")+--(data!AJ9="")+--(data!AL9="")+--(data!AP9="")+--(data!AQ9="")+--(data!AR9="")+--(data!AS9="")+--(data!AT9="")+--(data!AU9="")+--(data!AV9="")+--(data!AW9="")+--(data!AX9="")+--(data!AY9="")+--(data!AZ9="")+--(data!BA9="")+--(data!BB9="")+--(data!BC9="")+--(data!BD9="")+--(data!BE9="")+--(data!BF9="")+--(data!BG9="")+--(data!BH9="")+--(data!BI9="")+--(data!BK9="")+--(data!BM9="")+--(data!J9="")+--(data!K9="")+--(data!L9=""))</f>
        <v/>
      </c>
    </row>
    <row r="10">
      <c r="A10">
        <f>IF(data!A10="","",data!A10)</f>
        <v/>
      </c>
      <c r="B10">
        <f>IF(data!B10="","",data!B10)</f>
        <v/>
      </c>
      <c r="C10">
        <f>IF(data!D10="","",data!D10)</f>
        <v/>
      </c>
      <c r="D10">
        <f>IF(data!A10="","",COUNT(data!O10:AD10))</f>
        <v/>
      </c>
      <c r="E10">
        <f>IF(data!A10="","",COUNT(data!AP10:BE10))</f>
        <v/>
      </c>
      <c r="F10">
        <f>IF(data!A10="","",IF(COUNT(data!O10:AD10)=16,SUM(data!O10:AD10),""))</f>
        <v/>
      </c>
      <c r="G10">
        <f>IF(data!A10="","",IF(COUNT(data!AP10:BE10)=16,SUM(data!AP10:BE10),""))</f>
        <v/>
      </c>
      <c r="H10">
        <f>IF(COUNT(data!AH10,data!AI10)=0,"",MAX(data!AH10,data!AI10))</f>
        <v/>
      </c>
      <c r="I10">
        <f>IF(COUNT(data!BI10,data!BJ10)=0,"",MAX(data!BI10,data!BJ10))</f>
        <v/>
      </c>
      <c r="J10">
        <f>IF(COUNT(data!AJ10,data!AK10)=0,"",MAX(data!AJ10,data!AK10))</f>
        <v/>
      </c>
      <c r="K10">
        <f>IF(COUNT(data!BK10,data!BL10)=0,"",MAX(data!BK10,data!BL10))</f>
        <v/>
      </c>
      <c r="L10">
        <f>IF(COUNT(data!AL10,data!AM10)=0,"",MIN(data!AL10,data!AM10))</f>
        <v/>
      </c>
      <c r="M10">
        <f>IF(COUNT(data!BM10,data!BN10)=0,"",MIN(data!BM10,data!BN10))</f>
        <v/>
      </c>
      <c r="N10">
        <f>IF(data!A10="","",IF(OR(F10="",G10=""),0,--(F10=G10))+IF(OR(data!AE10="",data!BF10=""),0,--(data!AE10=data!BF10))+IF(OR(data!AF10="",data!BG10=""),0,--(data!AF10=data!BG10))+IF(OR(data!AG10="",data!BH10=""),0,--(data!AG10=data!BH10))+IF(OR(H10="",I10=""),0,--(H10=I10))+IF(OR(J10="",K10=""),0,--(J10=K10))+IF(OR(L10="",M10=""),0,--(L10=M10)))</f>
        <v/>
      </c>
      <c r="O10">
        <f>IF(data!D10&lt;&gt;1,"",--(data!O10="")+--(data!P10="")+--(data!Q10="")+--(data!R10="")+--(data!S10="")+--(data!T10="")+--(data!U10="")+--(data!V10="")+--(data!W10="")+--(data!X10="")+--(data!Y10="")+--(data!Z10="")+--(data!AA10="")+--(data!AB10="")+--(data!AC10="")+--(data!AD10="")+--(data!AE10="")+--(data!AF10="")+--(data!AG10="")+--(data!AH10="")+--(data!AJ10="")+--(data!AL10="")+--(data!AP10="")+--(data!AQ10="")+--(data!AR10="")+--(data!AS10="")+--(data!AT10="")+--(data!AU10="")+--(data!AV10="")+--(data!AW10="")+--(data!AX10="")+--(data!AY10="")+--(data!AZ10="")+--(data!BA10="")+--(data!BB10="")+--(data!BC10="")+--(data!BD10="")+--(data!BE10="")+--(data!BF10="")+--(data!BG10="")+--(data!BH10="")+--(data!BI10="")+--(data!BK10="")+--(data!BM10="")+--(data!J10="")+--(data!K10="")+--(data!L10=""))</f>
        <v/>
      </c>
    </row>
    <row r="11">
      <c r="A11">
        <f>IF(data!A11="","",data!A11)</f>
        <v/>
      </c>
      <c r="B11">
        <f>IF(data!B11="","",data!B11)</f>
        <v/>
      </c>
      <c r="C11">
        <f>IF(data!D11="","",data!D11)</f>
        <v/>
      </c>
      <c r="D11">
        <f>IF(data!A11="","",COUNT(data!O11:AD11))</f>
        <v/>
      </c>
      <c r="E11">
        <f>IF(data!A11="","",COUNT(data!AP11:BE11))</f>
        <v/>
      </c>
      <c r="F11">
        <f>IF(data!A11="","",IF(COUNT(data!O11:AD11)=16,SUM(data!O11:AD11),""))</f>
        <v/>
      </c>
      <c r="G11">
        <f>IF(data!A11="","",IF(COUNT(data!AP11:BE11)=16,SUM(data!AP11:BE11),""))</f>
        <v/>
      </c>
      <c r="H11">
        <f>IF(COUNT(data!AH11,data!AI11)=0,"",MAX(data!AH11,data!AI11))</f>
        <v/>
      </c>
      <c r="I11">
        <f>IF(COUNT(data!BI11,data!BJ11)=0,"",MAX(data!BI11,data!BJ11))</f>
        <v/>
      </c>
      <c r="J11">
        <f>IF(COUNT(data!AJ11,data!AK11)=0,"",MAX(data!AJ11,data!AK11))</f>
        <v/>
      </c>
      <c r="K11">
        <f>IF(COUNT(data!BK11,data!BL11)=0,"",MAX(data!BK11,data!BL11))</f>
        <v/>
      </c>
      <c r="L11">
        <f>IF(COUNT(data!AL11,data!AM11)=0,"",MIN(data!AL11,data!AM11))</f>
        <v/>
      </c>
      <c r="M11">
        <f>IF(COUNT(data!BM11,data!BN11)=0,"",MIN(data!BM11,data!BN11))</f>
        <v/>
      </c>
      <c r="N11">
        <f>IF(data!A11="","",IF(OR(F11="",G11=""),0,--(F11=G11))+IF(OR(data!AE11="",data!BF11=""),0,--(data!AE11=data!BF11))+IF(OR(data!AF11="",data!BG11=""),0,--(data!AF11=data!BG11))+IF(OR(data!AG11="",data!BH11=""),0,--(data!AG11=data!BH11))+IF(OR(H11="",I11=""),0,--(H11=I11))+IF(OR(J11="",K11=""),0,--(J11=K11))+IF(OR(L11="",M11=""),0,--(L11=M11)))</f>
        <v/>
      </c>
      <c r="O11">
        <f>IF(data!D11&lt;&gt;1,"",--(data!O11="")+--(data!P11="")+--(data!Q11="")+--(data!R11="")+--(data!S11="")+--(data!T11="")+--(data!U11="")+--(data!V11="")+--(data!W11="")+--(data!X11="")+--(data!Y11="")+--(data!Z11="")+--(data!AA11="")+--(data!AB11="")+--(data!AC11="")+--(data!AD11="")+--(data!AE11="")+--(data!AF11="")+--(data!AG11="")+--(data!AH11="")+--(data!AJ11="")+--(data!AL11="")+--(data!AP11="")+--(data!AQ11="")+--(data!AR11="")+--(data!AS11="")+--(data!AT11="")+--(data!AU11="")+--(data!AV11="")+--(data!AW11="")+--(data!AX11="")+--(data!AY11="")+--(data!AZ11="")+--(data!BA11="")+--(data!BB11="")+--(data!BC11="")+--(data!BD11="")+--(data!BE11="")+--(data!BF11="")+--(data!BG11="")+--(data!BH11="")+--(data!BI11="")+--(data!BK11="")+--(data!BM11="")+--(data!J11="")+--(data!K11="")+--(data!L11=""))</f>
        <v/>
      </c>
    </row>
    <row r="12">
      <c r="A12">
        <f>IF(data!A12="","",data!A12)</f>
        <v/>
      </c>
      <c r="B12">
        <f>IF(data!B12="","",data!B12)</f>
        <v/>
      </c>
      <c r="C12">
        <f>IF(data!D12="","",data!D12)</f>
        <v/>
      </c>
      <c r="D12">
        <f>IF(data!A12="","",COUNT(data!O12:AD12))</f>
        <v/>
      </c>
      <c r="E12">
        <f>IF(data!A12="","",COUNT(data!AP12:BE12))</f>
        <v/>
      </c>
      <c r="F12">
        <f>IF(data!A12="","",IF(COUNT(data!O12:AD12)=16,SUM(data!O12:AD12),""))</f>
        <v/>
      </c>
      <c r="G12">
        <f>IF(data!A12="","",IF(COUNT(data!AP12:BE12)=16,SUM(data!AP12:BE12),""))</f>
        <v/>
      </c>
      <c r="H12">
        <f>IF(COUNT(data!AH12,data!AI12)=0,"",MAX(data!AH12,data!AI12))</f>
        <v/>
      </c>
      <c r="I12">
        <f>IF(COUNT(data!BI12,data!BJ12)=0,"",MAX(data!BI12,data!BJ12))</f>
        <v/>
      </c>
      <c r="J12">
        <f>IF(COUNT(data!AJ12,data!AK12)=0,"",MAX(data!AJ12,data!AK12))</f>
        <v/>
      </c>
      <c r="K12">
        <f>IF(COUNT(data!BK12,data!BL12)=0,"",MAX(data!BK12,data!BL12))</f>
        <v/>
      </c>
      <c r="L12">
        <f>IF(COUNT(data!AL12,data!AM12)=0,"",MIN(data!AL12,data!AM12))</f>
        <v/>
      </c>
      <c r="M12">
        <f>IF(COUNT(data!BM12,data!BN12)=0,"",MIN(data!BM12,data!BN12))</f>
        <v/>
      </c>
      <c r="N12">
        <f>IF(data!A12="","",IF(OR(F12="",G12=""),0,--(F12=G12))+IF(OR(data!AE12="",data!BF12=""),0,--(data!AE12=data!BF12))+IF(OR(data!AF12="",data!BG12=""),0,--(data!AF12=data!BG12))+IF(OR(data!AG12="",data!BH12=""),0,--(data!AG12=data!BH12))+IF(OR(H12="",I12=""),0,--(H12=I12))+IF(OR(J12="",K12=""),0,--(J12=K12))+IF(OR(L12="",M12=""),0,--(L12=M12)))</f>
        <v/>
      </c>
      <c r="O12">
        <f>IF(data!D12&lt;&gt;1,"",--(data!O12="")+--(data!P12="")+--(data!Q12="")+--(data!R12="")+--(data!S12="")+--(data!T12="")+--(data!U12="")+--(data!V12="")+--(data!W12="")+--(data!X12="")+--(data!Y12="")+--(data!Z12="")+--(data!AA12="")+--(data!AB12="")+--(data!AC12="")+--(data!AD12="")+--(data!AE12="")+--(data!AF12="")+--(data!AG12="")+--(data!AH12="")+--(data!AJ12="")+--(data!AL12="")+--(data!AP12="")+--(data!AQ12="")+--(data!AR12="")+--(data!AS12="")+--(data!AT12="")+--(data!AU12="")+--(data!AV12="")+--(data!AW12="")+--(data!AX12="")+--(data!AY12="")+--(data!AZ12="")+--(data!BA12="")+--(data!BB12="")+--(data!BC12="")+--(data!BD12="")+--(data!BE12="")+--(data!BF12="")+--(data!BG12="")+--(data!BH12="")+--(data!BI12="")+--(data!BK12="")+--(data!BM12="")+--(data!J12="")+--(data!K12="")+--(data!L12=""))</f>
        <v/>
      </c>
    </row>
    <row r="13">
      <c r="A13">
        <f>IF(data!A13="","",data!A13)</f>
        <v/>
      </c>
      <c r="B13">
        <f>IF(data!B13="","",data!B13)</f>
        <v/>
      </c>
      <c r="C13">
        <f>IF(data!D13="","",data!D13)</f>
        <v/>
      </c>
      <c r="D13">
        <f>IF(data!A13="","",COUNT(data!O13:AD13))</f>
        <v/>
      </c>
      <c r="E13">
        <f>IF(data!A13="","",COUNT(data!AP13:BE13))</f>
        <v/>
      </c>
      <c r="F13">
        <f>IF(data!A13="","",IF(COUNT(data!O13:AD13)=16,SUM(data!O13:AD13),""))</f>
        <v/>
      </c>
      <c r="G13">
        <f>IF(data!A13="","",IF(COUNT(data!AP13:BE13)=16,SUM(data!AP13:BE13),""))</f>
        <v/>
      </c>
      <c r="H13">
        <f>IF(COUNT(data!AH13,data!AI13)=0,"",MAX(data!AH13,data!AI13))</f>
        <v/>
      </c>
      <c r="I13">
        <f>IF(COUNT(data!BI13,data!BJ13)=0,"",MAX(data!BI13,data!BJ13))</f>
        <v/>
      </c>
      <c r="J13">
        <f>IF(COUNT(data!AJ13,data!AK13)=0,"",MAX(data!AJ13,data!AK13))</f>
        <v/>
      </c>
      <c r="K13">
        <f>IF(COUNT(data!BK13,data!BL13)=0,"",MAX(data!BK13,data!BL13))</f>
        <v/>
      </c>
      <c r="L13">
        <f>IF(COUNT(data!AL13,data!AM13)=0,"",MIN(data!AL13,data!AM13))</f>
        <v/>
      </c>
      <c r="M13">
        <f>IF(COUNT(data!BM13,data!BN13)=0,"",MIN(data!BM13,data!BN13))</f>
        <v/>
      </c>
      <c r="N13">
        <f>IF(data!A13="","",IF(OR(F13="",G13=""),0,--(F13=G13))+IF(OR(data!AE13="",data!BF13=""),0,--(data!AE13=data!BF13))+IF(OR(data!AF13="",data!BG13=""),0,--(data!AF13=data!BG13))+IF(OR(data!AG13="",data!BH13=""),0,--(data!AG13=data!BH13))+IF(OR(H13="",I13=""),0,--(H13=I13))+IF(OR(J13="",K13=""),0,--(J13=K13))+IF(OR(L13="",M13=""),0,--(L13=M13)))</f>
        <v/>
      </c>
      <c r="O13">
        <f>IF(data!D13&lt;&gt;1,"",--(data!O13="")+--(data!P13="")+--(data!Q13="")+--(data!R13="")+--(data!S13="")+--(data!T13="")+--(data!U13="")+--(data!V13="")+--(data!W13="")+--(data!X13="")+--(data!Y13="")+--(data!Z13="")+--(data!AA13="")+--(data!AB13="")+--(data!AC13="")+--(data!AD13="")+--(data!AE13="")+--(data!AF13="")+--(data!AG13="")+--(data!AH13="")+--(data!AJ13="")+--(data!AL13="")+--(data!AP13="")+--(data!AQ13="")+--(data!AR13="")+--(data!AS13="")+--(data!AT13="")+--(data!AU13="")+--(data!AV13="")+--(data!AW13="")+--(data!AX13="")+--(data!AY13="")+--(data!AZ13="")+--(data!BA13="")+--(data!BB13="")+--(data!BC13="")+--(data!BD13="")+--(data!BE13="")+--(data!BF13="")+--(data!BG13="")+--(data!BH13="")+--(data!BI13="")+--(data!BK13="")+--(data!BM13="")+--(data!J13="")+--(data!K13="")+--(data!L13=""))</f>
        <v/>
      </c>
    </row>
    <row r="14">
      <c r="A14">
        <f>IF(data!A14="","",data!A14)</f>
        <v/>
      </c>
      <c r="B14">
        <f>IF(data!B14="","",data!B14)</f>
        <v/>
      </c>
      <c r="C14">
        <f>IF(data!D14="","",data!D14)</f>
        <v/>
      </c>
      <c r="D14">
        <f>IF(data!A14="","",COUNT(data!O14:AD14))</f>
        <v/>
      </c>
      <c r="E14">
        <f>IF(data!A14="","",COUNT(data!AP14:BE14))</f>
        <v/>
      </c>
      <c r="F14">
        <f>IF(data!A14="","",IF(COUNT(data!O14:AD14)=16,SUM(data!O14:AD14),""))</f>
        <v/>
      </c>
      <c r="G14">
        <f>IF(data!A14="","",IF(COUNT(data!AP14:BE14)=16,SUM(data!AP14:BE14),""))</f>
        <v/>
      </c>
      <c r="H14">
        <f>IF(COUNT(data!AH14,data!AI14)=0,"",MAX(data!AH14,data!AI14))</f>
        <v/>
      </c>
      <c r="I14">
        <f>IF(COUNT(data!BI14,data!BJ14)=0,"",MAX(data!BI14,data!BJ14))</f>
        <v/>
      </c>
      <c r="J14">
        <f>IF(COUNT(data!AJ14,data!AK14)=0,"",MAX(data!AJ14,data!AK14))</f>
        <v/>
      </c>
      <c r="K14">
        <f>IF(COUNT(data!BK14,data!BL14)=0,"",MAX(data!BK14,data!BL14))</f>
        <v/>
      </c>
      <c r="L14">
        <f>IF(COUNT(data!AL14,data!AM14)=0,"",MIN(data!AL14,data!AM14))</f>
        <v/>
      </c>
      <c r="M14">
        <f>IF(COUNT(data!BM14,data!BN14)=0,"",MIN(data!BM14,data!BN14))</f>
        <v/>
      </c>
      <c r="N14">
        <f>IF(data!A14="","",IF(OR(F14="",G14=""),0,--(F14=G14))+IF(OR(data!AE14="",data!BF14=""),0,--(data!AE14=data!BF14))+IF(OR(data!AF14="",data!BG14=""),0,--(data!AF14=data!BG14))+IF(OR(data!AG14="",data!BH14=""),0,--(data!AG14=data!BH14))+IF(OR(H14="",I14=""),0,--(H14=I14))+IF(OR(J14="",K14=""),0,--(J14=K14))+IF(OR(L14="",M14=""),0,--(L14=M14)))</f>
        <v/>
      </c>
      <c r="O14">
        <f>IF(data!D14&lt;&gt;1,"",--(data!O14="")+--(data!P14="")+--(data!Q14="")+--(data!R14="")+--(data!S14="")+--(data!T14="")+--(data!U14="")+--(data!V14="")+--(data!W14="")+--(data!X14="")+--(data!Y14="")+--(data!Z14="")+--(data!AA14="")+--(data!AB14="")+--(data!AC14="")+--(data!AD14="")+--(data!AE14="")+--(data!AF14="")+--(data!AG14="")+--(data!AH14="")+--(data!AJ14="")+--(data!AL14="")+--(data!AP14="")+--(data!AQ14="")+--(data!AR14="")+--(data!AS14="")+--(data!AT14="")+--(data!AU14="")+--(data!AV14="")+--(data!AW14="")+--(data!AX14="")+--(data!AY14="")+--(data!AZ14="")+--(data!BA14="")+--(data!BB14="")+--(data!BC14="")+--(data!BD14="")+--(data!BE14="")+--(data!BF14="")+--(data!BG14="")+--(data!BH14="")+--(data!BI14="")+--(data!BK14="")+--(data!BM14="")+--(data!J14="")+--(data!K14="")+--(data!L14=""))</f>
        <v/>
      </c>
    </row>
    <row r="15">
      <c r="A15">
        <f>IF(data!A15="","",data!A15)</f>
        <v/>
      </c>
      <c r="B15">
        <f>IF(data!B15="","",data!B15)</f>
        <v/>
      </c>
      <c r="C15">
        <f>IF(data!D15="","",data!D15)</f>
        <v/>
      </c>
      <c r="D15">
        <f>IF(data!A15="","",COUNT(data!O15:AD15))</f>
        <v/>
      </c>
      <c r="E15">
        <f>IF(data!A15="","",COUNT(data!AP15:BE15))</f>
        <v/>
      </c>
      <c r="F15">
        <f>IF(data!A15="","",IF(COUNT(data!O15:AD15)=16,SUM(data!O15:AD15),""))</f>
        <v/>
      </c>
      <c r="G15">
        <f>IF(data!A15="","",IF(COUNT(data!AP15:BE15)=16,SUM(data!AP15:BE15),""))</f>
        <v/>
      </c>
      <c r="H15">
        <f>IF(COUNT(data!AH15,data!AI15)=0,"",MAX(data!AH15,data!AI15))</f>
        <v/>
      </c>
      <c r="I15">
        <f>IF(COUNT(data!BI15,data!BJ15)=0,"",MAX(data!BI15,data!BJ15))</f>
        <v/>
      </c>
      <c r="J15">
        <f>IF(COUNT(data!AJ15,data!AK15)=0,"",MAX(data!AJ15,data!AK15))</f>
        <v/>
      </c>
      <c r="K15">
        <f>IF(COUNT(data!BK15,data!BL15)=0,"",MAX(data!BK15,data!BL15))</f>
        <v/>
      </c>
      <c r="L15">
        <f>IF(COUNT(data!AL15,data!AM15)=0,"",MIN(data!AL15,data!AM15))</f>
        <v/>
      </c>
      <c r="M15">
        <f>IF(COUNT(data!BM15,data!BN15)=0,"",MIN(data!BM15,data!BN15))</f>
        <v/>
      </c>
      <c r="N15">
        <f>IF(data!A15="","",IF(OR(F15="",G15=""),0,--(F15=G15))+IF(OR(data!AE15="",data!BF15=""),0,--(data!AE15=data!BF15))+IF(OR(data!AF15="",data!BG15=""),0,--(data!AF15=data!BG15))+IF(OR(data!AG15="",data!BH15=""),0,--(data!AG15=data!BH15))+IF(OR(H15="",I15=""),0,--(H15=I15))+IF(OR(J15="",K15=""),0,--(J15=K15))+IF(OR(L15="",M15=""),0,--(L15=M15)))</f>
        <v/>
      </c>
      <c r="O15">
        <f>IF(data!D15&lt;&gt;1,"",--(data!O15="")+--(data!P15="")+--(data!Q15="")+--(data!R15="")+--(data!S15="")+--(data!T15="")+--(data!U15="")+--(data!V15="")+--(data!W15="")+--(data!X15="")+--(data!Y15="")+--(data!Z15="")+--(data!AA15="")+--(data!AB15="")+--(data!AC15="")+--(data!AD15="")+--(data!AE15="")+--(data!AF15="")+--(data!AG15="")+--(data!AH15="")+--(data!AJ15="")+--(data!AL15="")+--(data!AP15="")+--(data!AQ15="")+--(data!AR15="")+--(data!AS15="")+--(data!AT15="")+--(data!AU15="")+--(data!AV15="")+--(data!AW15="")+--(data!AX15="")+--(data!AY15="")+--(data!AZ15="")+--(data!BA15="")+--(data!BB15="")+--(data!BC15="")+--(data!BD15="")+--(data!BE15="")+--(data!BF15="")+--(data!BG15="")+--(data!BH15="")+--(data!BI15="")+--(data!BK15="")+--(data!BM15="")+--(data!J15="")+--(data!K15="")+--(data!L15=""))</f>
        <v/>
      </c>
    </row>
    <row r="16">
      <c r="A16">
        <f>IF(data!A16="","",data!A16)</f>
        <v/>
      </c>
      <c r="B16">
        <f>IF(data!B16="","",data!B16)</f>
        <v/>
      </c>
      <c r="C16">
        <f>IF(data!D16="","",data!D16)</f>
        <v/>
      </c>
      <c r="D16">
        <f>IF(data!A16="","",COUNT(data!O16:AD16))</f>
        <v/>
      </c>
      <c r="E16">
        <f>IF(data!A16="","",COUNT(data!AP16:BE16))</f>
        <v/>
      </c>
      <c r="F16">
        <f>IF(data!A16="","",IF(COUNT(data!O16:AD16)=16,SUM(data!O16:AD16),""))</f>
        <v/>
      </c>
      <c r="G16">
        <f>IF(data!A16="","",IF(COUNT(data!AP16:BE16)=16,SUM(data!AP16:BE16),""))</f>
        <v/>
      </c>
      <c r="H16">
        <f>IF(COUNT(data!AH16,data!AI16)=0,"",MAX(data!AH16,data!AI16))</f>
        <v/>
      </c>
      <c r="I16">
        <f>IF(COUNT(data!BI16,data!BJ16)=0,"",MAX(data!BI16,data!BJ16))</f>
        <v/>
      </c>
      <c r="J16">
        <f>IF(COUNT(data!AJ16,data!AK16)=0,"",MAX(data!AJ16,data!AK16))</f>
        <v/>
      </c>
      <c r="K16">
        <f>IF(COUNT(data!BK16,data!BL16)=0,"",MAX(data!BK16,data!BL16))</f>
        <v/>
      </c>
      <c r="L16">
        <f>IF(COUNT(data!AL16,data!AM16)=0,"",MIN(data!AL16,data!AM16))</f>
        <v/>
      </c>
      <c r="M16">
        <f>IF(COUNT(data!BM16,data!BN16)=0,"",MIN(data!BM16,data!BN16))</f>
        <v/>
      </c>
      <c r="N16">
        <f>IF(data!A16="","",IF(OR(F16="",G16=""),0,--(F16=G16))+IF(OR(data!AE16="",data!BF16=""),0,--(data!AE16=data!BF16))+IF(OR(data!AF16="",data!BG16=""),0,--(data!AF16=data!BG16))+IF(OR(data!AG16="",data!BH16=""),0,--(data!AG16=data!BH16))+IF(OR(H16="",I16=""),0,--(H16=I16))+IF(OR(J16="",K16=""),0,--(J16=K16))+IF(OR(L16="",M16=""),0,--(L16=M16)))</f>
        <v/>
      </c>
      <c r="O16">
        <f>IF(data!D16&lt;&gt;1,"",--(data!O16="")+--(data!P16="")+--(data!Q16="")+--(data!R16="")+--(data!S16="")+--(data!T16="")+--(data!U16="")+--(data!V16="")+--(data!W16="")+--(data!X16="")+--(data!Y16="")+--(data!Z16="")+--(data!AA16="")+--(data!AB16="")+--(data!AC16="")+--(data!AD16="")+--(data!AE16="")+--(data!AF16="")+--(data!AG16="")+--(data!AH16="")+--(data!AJ16="")+--(data!AL16="")+--(data!AP16="")+--(data!AQ16="")+--(data!AR16="")+--(data!AS16="")+--(data!AT16="")+--(data!AU16="")+--(data!AV16="")+--(data!AW16="")+--(data!AX16="")+--(data!AY16="")+--(data!AZ16="")+--(data!BA16="")+--(data!BB16="")+--(data!BC16="")+--(data!BD16="")+--(data!BE16="")+--(data!BF16="")+--(data!BG16="")+--(data!BH16="")+--(data!BI16="")+--(data!BK16="")+--(data!BM16="")+--(data!J16="")+--(data!K16="")+--(data!L16=""))</f>
        <v/>
      </c>
    </row>
    <row r="17">
      <c r="A17">
        <f>IF(data!A17="","",data!A17)</f>
        <v/>
      </c>
      <c r="B17">
        <f>IF(data!B17="","",data!B17)</f>
        <v/>
      </c>
      <c r="C17">
        <f>IF(data!D17="","",data!D17)</f>
        <v/>
      </c>
      <c r="D17">
        <f>IF(data!A17="","",COUNT(data!O17:AD17))</f>
        <v/>
      </c>
      <c r="E17">
        <f>IF(data!A17="","",COUNT(data!AP17:BE17))</f>
        <v/>
      </c>
      <c r="F17">
        <f>IF(data!A17="","",IF(COUNT(data!O17:AD17)=16,SUM(data!O17:AD17),""))</f>
        <v/>
      </c>
      <c r="G17">
        <f>IF(data!A17="","",IF(COUNT(data!AP17:BE17)=16,SUM(data!AP17:BE17),""))</f>
        <v/>
      </c>
      <c r="H17">
        <f>IF(COUNT(data!AH17,data!AI17)=0,"",MAX(data!AH17,data!AI17))</f>
        <v/>
      </c>
      <c r="I17">
        <f>IF(COUNT(data!BI17,data!BJ17)=0,"",MAX(data!BI17,data!BJ17))</f>
        <v/>
      </c>
      <c r="J17">
        <f>IF(COUNT(data!AJ17,data!AK17)=0,"",MAX(data!AJ17,data!AK17))</f>
        <v/>
      </c>
      <c r="K17">
        <f>IF(COUNT(data!BK17,data!BL17)=0,"",MAX(data!BK17,data!BL17))</f>
        <v/>
      </c>
      <c r="L17">
        <f>IF(COUNT(data!AL17,data!AM17)=0,"",MIN(data!AL17,data!AM17))</f>
        <v/>
      </c>
      <c r="M17">
        <f>IF(COUNT(data!BM17,data!BN17)=0,"",MIN(data!BM17,data!BN17))</f>
        <v/>
      </c>
      <c r="N17">
        <f>IF(data!A17="","",IF(OR(F17="",G17=""),0,--(F17=G17))+IF(OR(data!AE17="",data!BF17=""),0,--(data!AE17=data!BF17))+IF(OR(data!AF17="",data!BG17=""),0,--(data!AF17=data!BG17))+IF(OR(data!AG17="",data!BH17=""),0,--(data!AG17=data!BH17))+IF(OR(H17="",I17=""),0,--(H17=I17))+IF(OR(J17="",K17=""),0,--(J17=K17))+IF(OR(L17="",M17=""),0,--(L17=M17)))</f>
        <v/>
      </c>
      <c r="O17">
        <f>IF(data!D17&lt;&gt;1,"",--(data!O17="")+--(data!P17="")+--(data!Q17="")+--(data!R17="")+--(data!S17="")+--(data!T17="")+--(data!U17="")+--(data!V17="")+--(data!W17="")+--(data!X17="")+--(data!Y17="")+--(data!Z17="")+--(data!AA17="")+--(data!AB17="")+--(data!AC17="")+--(data!AD17="")+--(data!AE17="")+--(data!AF17="")+--(data!AG17="")+--(data!AH17="")+--(data!AJ17="")+--(data!AL17="")+--(data!AP17="")+--(data!AQ17="")+--(data!AR17="")+--(data!AS17="")+--(data!AT17="")+--(data!AU17="")+--(data!AV17="")+--(data!AW17="")+--(data!AX17="")+--(data!AY17="")+--(data!AZ17="")+--(data!BA17="")+--(data!BB17="")+--(data!BC17="")+--(data!BD17="")+--(data!BE17="")+--(data!BF17="")+--(data!BG17="")+--(data!BH17="")+--(data!BI17="")+--(data!BK17="")+--(data!BM17="")+--(data!J17="")+--(data!K17="")+--(data!L17=""))</f>
        <v/>
      </c>
    </row>
    <row r="18">
      <c r="A18">
        <f>IF(data!A18="","",data!A18)</f>
        <v/>
      </c>
      <c r="B18">
        <f>IF(data!B18="","",data!B18)</f>
        <v/>
      </c>
      <c r="C18">
        <f>IF(data!D18="","",data!D18)</f>
        <v/>
      </c>
      <c r="D18">
        <f>IF(data!A18="","",COUNT(data!O18:AD18))</f>
        <v/>
      </c>
      <c r="E18">
        <f>IF(data!A18="","",COUNT(data!AP18:BE18))</f>
        <v/>
      </c>
      <c r="F18">
        <f>IF(data!A18="","",IF(COUNT(data!O18:AD18)=16,SUM(data!O18:AD18),""))</f>
        <v/>
      </c>
      <c r="G18">
        <f>IF(data!A18="","",IF(COUNT(data!AP18:BE18)=16,SUM(data!AP18:BE18),""))</f>
        <v/>
      </c>
      <c r="H18">
        <f>IF(COUNT(data!AH18,data!AI18)=0,"",MAX(data!AH18,data!AI18))</f>
        <v/>
      </c>
      <c r="I18">
        <f>IF(COUNT(data!BI18,data!BJ18)=0,"",MAX(data!BI18,data!BJ18))</f>
        <v/>
      </c>
      <c r="J18">
        <f>IF(COUNT(data!AJ18,data!AK18)=0,"",MAX(data!AJ18,data!AK18))</f>
        <v/>
      </c>
      <c r="K18">
        <f>IF(COUNT(data!BK18,data!BL18)=0,"",MAX(data!BK18,data!BL18))</f>
        <v/>
      </c>
      <c r="L18">
        <f>IF(COUNT(data!AL18,data!AM18)=0,"",MIN(data!AL18,data!AM18))</f>
        <v/>
      </c>
      <c r="M18">
        <f>IF(COUNT(data!BM18,data!BN18)=0,"",MIN(data!BM18,data!BN18))</f>
        <v/>
      </c>
      <c r="N18">
        <f>IF(data!A18="","",IF(OR(F18="",G18=""),0,--(F18=G18))+IF(OR(data!AE18="",data!BF18=""),0,--(data!AE18=data!BF18))+IF(OR(data!AF18="",data!BG18=""),0,--(data!AF18=data!BG18))+IF(OR(data!AG18="",data!BH18=""),0,--(data!AG18=data!BH18))+IF(OR(H18="",I18=""),0,--(H18=I18))+IF(OR(J18="",K18=""),0,--(J18=K18))+IF(OR(L18="",M18=""),0,--(L18=M18)))</f>
        <v/>
      </c>
      <c r="O18">
        <f>IF(data!D18&lt;&gt;1,"",--(data!O18="")+--(data!P18="")+--(data!Q18="")+--(data!R18="")+--(data!S18="")+--(data!T18="")+--(data!U18="")+--(data!V18="")+--(data!W18="")+--(data!X18="")+--(data!Y18="")+--(data!Z18="")+--(data!AA18="")+--(data!AB18="")+--(data!AC18="")+--(data!AD18="")+--(data!AE18="")+--(data!AF18="")+--(data!AG18="")+--(data!AH18="")+--(data!AJ18="")+--(data!AL18="")+--(data!AP18="")+--(data!AQ18="")+--(data!AR18="")+--(data!AS18="")+--(data!AT18="")+--(data!AU18="")+--(data!AV18="")+--(data!AW18="")+--(data!AX18="")+--(data!AY18="")+--(data!AZ18="")+--(data!BA18="")+--(data!BB18="")+--(data!BC18="")+--(data!BD18="")+--(data!BE18="")+--(data!BF18="")+--(data!BG18="")+--(data!BH18="")+--(data!BI18="")+--(data!BK18="")+--(data!BM18="")+--(data!J18="")+--(data!K18="")+--(data!L18=""))</f>
        <v/>
      </c>
    </row>
    <row r="19">
      <c r="A19">
        <f>IF(data!A19="","",data!A19)</f>
        <v/>
      </c>
      <c r="B19">
        <f>IF(data!B19="","",data!B19)</f>
        <v/>
      </c>
      <c r="C19">
        <f>IF(data!D19="","",data!D19)</f>
        <v/>
      </c>
      <c r="D19">
        <f>IF(data!A19="","",COUNT(data!O19:AD19))</f>
        <v/>
      </c>
      <c r="E19">
        <f>IF(data!A19="","",COUNT(data!AP19:BE19))</f>
        <v/>
      </c>
      <c r="F19">
        <f>IF(data!A19="","",IF(COUNT(data!O19:AD19)=16,SUM(data!O19:AD19),""))</f>
        <v/>
      </c>
      <c r="G19">
        <f>IF(data!A19="","",IF(COUNT(data!AP19:BE19)=16,SUM(data!AP19:BE19),""))</f>
        <v/>
      </c>
      <c r="H19">
        <f>IF(COUNT(data!AH19,data!AI19)=0,"",MAX(data!AH19,data!AI19))</f>
        <v/>
      </c>
      <c r="I19">
        <f>IF(COUNT(data!BI19,data!BJ19)=0,"",MAX(data!BI19,data!BJ19))</f>
        <v/>
      </c>
      <c r="J19">
        <f>IF(COUNT(data!AJ19,data!AK19)=0,"",MAX(data!AJ19,data!AK19))</f>
        <v/>
      </c>
      <c r="K19">
        <f>IF(COUNT(data!BK19,data!BL19)=0,"",MAX(data!BK19,data!BL19))</f>
        <v/>
      </c>
      <c r="L19">
        <f>IF(COUNT(data!AL19,data!AM19)=0,"",MIN(data!AL19,data!AM19))</f>
        <v/>
      </c>
      <c r="M19">
        <f>IF(COUNT(data!BM19,data!BN19)=0,"",MIN(data!BM19,data!BN19))</f>
        <v/>
      </c>
      <c r="N19">
        <f>IF(data!A19="","",IF(OR(F19="",G19=""),0,--(F19=G19))+IF(OR(data!AE19="",data!BF19=""),0,--(data!AE19=data!BF19))+IF(OR(data!AF19="",data!BG19=""),0,--(data!AF19=data!BG19))+IF(OR(data!AG19="",data!BH19=""),0,--(data!AG19=data!BH19))+IF(OR(H19="",I19=""),0,--(H19=I19))+IF(OR(J19="",K19=""),0,--(J19=K19))+IF(OR(L19="",M19=""),0,--(L19=M19)))</f>
        <v/>
      </c>
      <c r="O19">
        <f>IF(data!D19&lt;&gt;1,"",--(data!O19="")+--(data!P19="")+--(data!Q19="")+--(data!R19="")+--(data!S19="")+--(data!T19="")+--(data!U19="")+--(data!V19="")+--(data!W19="")+--(data!X19="")+--(data!Y19="")+--(data!Z19="")+--(data!AA19="")+--(data!AB19="")+--(data!AC19="")+--(data!AD19="")+--(data!AE19="")+--(data!AF19="")+--(data!AG19="")+--(data!AH19="")+--(data!AJ19="")+--(data!AL19="")+--(data!AP19="")+--(data!AQ19="")+--(data!AR19="")+--(data!AS19="")+--(data!AT19="")+--(data!AU19="")+--(data!AV19="")+--(data!AW19="")+--(data!AX19="")+--(data!AY19="")+--(data!AZ19="")+--(data!BA19="")+--(data!BB19="")+--(data!BC19="")+--(data!BD19="")+--(data!BE19="")+--(data!BF19="")+--(data!BG19="")+--(data!BH19="")+--(data!BI19="")+--(data!BK19="")+--(data!BM19="")+--(data!J19="")+--(data!K19="")+--(data!L19=""))</f>
        <v/>
      </c>
    </row>
    <row r="20">
      <c r="A20">
        <f>IF(data!A20="","",data!A20)</f>
        <v/>
      </c>
      <c r="B20">
        <f>IF(data!B20="","",data!B20)</f>
        <v/>
      </c>
      <c r="C20">
        <f>IF(data!D20="","",data!D20)</f>
        <v/>
      </c>
      <c r="D20">
        <f>IF(data!A20="","",COUNT(data!O20:AD20))</f>
        <v/>
      </c>
      <c r="E20">
        <f>IF(data!A20="","",COUNT(data!AP20:BE20))</f>
        <v/>
      </c>
      <c r="F20">
        <f>IF(data!A20="","",IF(COUNT(data!O20:AD20)=16,SUM(data!O20:AD20),""))</f>
        <v/>
      </c>
      <c r="G20">
        <f>IF(data!A20="","",IF(COUNT(data!AP20:BE20)=16,SUM(data!AP20:BE20),""))</f>
        <v/>
      </c>
      <c r="H20">
        <f>IF(COUNT(data!AH20,data!AI20)=0,"",MAX(data!AH20,data!AI20))</f>
        <v/>
      </c>
      <c r="I20">
        <f>IF(COUNT(data!BI20,data!BJ20)=0,"",MAX(data!BI20,data!BJ20))</f>
        <v/>
      </c>
      <c r="J20">
        <f>IF(COUNT(data!AJ20,data!AK20)=0,"",MAX(data!AJ20,data!AK20))</f>
        <v/>
      </c>
      <c r="K20">
        <f>IF(COUNT(data!BK20,data!BL20)=0,"",MAX(data!BK20,data!BL20))</f>
        <v/>
      </c>
      <c r="L20">
        <f>IF(COUNT(data!AL20,data!AM20)=0,"",MIN(data!AL20,data!AM20))</f>
        <v/>
      </c>
      <c r="M20">
        <f>IF(COUNT(data!BM20,data!BN20)=0,"",MIN(data!BM20,data!BN20))</f>
        <v/>
      </c>
      <c r="N20">
        <f>IF(data!A20="","",IF(OR(F20="",G20=""),0,--(F20=G20))+IF(OR(data!AE20="",data!BF20=""),0,--(data!AE20=data!BF20))+IF(OR(data!AF20="",data!BG20=""),0,--(data!AF20=data!BG20))+IF(OR(data!AG20="",data!BH20=""),0,--(data!AG20=data!BH20))+IF(OR(H20="",I20=""),0,--(H20=I20))+IF(OR(J20="",K20=""),0,--(J20=K20))+IF(OR(L20="",M20=""),0,--(L20=M20)))</f>
        <v/>
      </c>
      <c r="O20">
        <f>IF(data!D20&lt;&gt;1,"",--(data!O20="")+--(data!P20="")+--(data!Q20="")+--(data!R20="")+--(data!S20="")+--(data!T20="")+--(data!U20="")+--(data!V20="")+--(data!W20="")+--(data!X20="")+--(data!Y20="")+--(data!Z20="")+--(data!AA20="")+--(data!AB20="")+--(data!AC20="")+--(data!AD20="")+--(data!AE20="")+--(data!AF20="")+--(data!AG20="")+--(data!AH20="")+--(data!AJ20="")+--(data!AL20="")+--(data!AP20="")+--(data!AQ20="")+--(data!AR20="")+--(data!AS20="")+--(data!AT20="")+--(data!AU20="")+--(data!AV20="")+--(data!AW20="")+--(data!AX20="")+--(data!AY20="")+--(data!AZ20="")+--(data!BA20="")+--(data!BB20="")+--(data!BC20="")+--(data!BD20="")+--(data!BE20="")+--(data!BF20="")+--(data!BG20="")+--(data!BH20="")+--(data!BI20="")+--(data!BK20="")+--(data!BM20="")+--(data!J20="")+--(data!K20="")+--(data!L20=""))</f>
        <v/>
      </c>
    </row>
    <row r="21">
      <c r="A21">
        <f>IF(data!A21="","",data!A21)</f>
        <v/>
      </c>
      <c r="B21">
        <f>IF(data!B21="","",data!B21)</f>
        <v/>
      </c>
      <c r="C21">
        <f>IF(data!D21="","",data!D21)</f>
        <v/>
      </c>
      <c r="D21">
        <f>IF(data!A21="","",COUNT(data!O21:AD21))</f>
        <v/>
      </c>
      <c r="E21">
        <f>IF(data!A21="","",COUNT(data!AP21:BE21))</f>
        <v/>
      </c>
      <c r="F21">
        <f>IF(data!A21="","",IF(COUNT(data!O21:AD21)=16,SUM(data!O21:AD21),""))</f>
        <v/>
      </c>
      <c r="G21">
        <f>IF(data!A21="","",IF(COUNT(data!AP21:BE21)=16,SUM(data!AP21:BE21),""))</f>
        <v/>
      </c>
      <c r="H21">
        <f>IF(COUNT(data!AH21,data!AI21)=0,"",MAX(data!AH21,data!AI21))</f>
        <v/>
      </c>
      <c r="I21">
        <f>IF(COUNT(data!BI21,data!BJ21)=0,"",MAX(data!BI21,data!BJ21))</f>
        <v/>
      </c>
      <c r="J21">
        <f>IF(COUNT(data!AJ21,data!AK21)=0,"",MAX(data!AJ21,data!AK21))</f>
        <v/>
      </c>
      <c r="K21">
        <f>IF(COUNT(data!BK21,data!BL21)=0,"",MAX(data!BK21,data!BL21))</f>
        <v/>
      </c>
      <c r="L21">
        <f>IF(COUNT(data!AL21,data!AM21)=0,"",MIN(data!AL21,data!AM21))</f>
        <v/>
      </c>
      <c r="M21">
        <f>IF(COUNT(data!BM21,data!BN21)=0,"",MIN(data!BM21,data!BN21))</f>
        <v/>
      </c>
      <c r="N21">
        <f>IF(data!A21="","",IF(OR(F21="",G21=""),0,--(F21=G21))+IF(OR(data!AE21="",data!BF21=""),0,--(data!AE21=data!BF21))+IF(OR(data!AF21="",data!BG21=""),0,--(data!AF21=data!BG21))+IF(OR(data!AG21="",data!BH21=""),0,--(data!AG21=data!BH21))+IF(OR(H21="",I21=""),0,--(H21=I21))+IF(OR(J21="",K21=""),0,--(J21=K21))+IF(OR(L21="",M21=""),0,--(L21=M21)))</f>
        <v/>
      </c>
      <c r="O21">
        <f>IF(data!D21&lt;&gt;1,"",--(data!O21="")+--(data!P21="")+--(data!Q21="")+--(data!R21="")+--(data!S21="")+--(data!T21="")+--(data!U21="")+--(data!V21="")+--(data!W21="")+--(data!X21="")+--(data!Y21="")+--(data!Z21="")+--(data!AA21="")+--(data!AB21="")+--(data!AC21="")+--(data!AD21="")+--(data!AE21="")+--(data!AF21="")+--(data!AG21="")+--(data!AH21="")+--(data!AJ21="")+--(data!AL21="")+--(data!AP21="")+--(data!AQ21="")+--(data!AR21="")+--(data!AS21="")+--(data!AT21="")+--(data!AU21="")+--(data!AV21="")+--(data!AW21="")+--(data!AX21="")+--(data!AY21="")+--(data!AZ21="")+--(data!BA21="")+--(data!BB21="")+--(data!BC21="")+--(data!BD21="")+--(data!BE21="")+--(data!BF21="")+--(data!BG21="")+--(data!BH21="")+--(data!BI21="")+--(data!BK21="")+--(data!BM21="")+--(data!J21="")+--(data!K21="")+--(data!L21=""))</f>
        <v/>
      </c>
    </row>
    <row r="22">
      <c r="A22">
        <f>IF(data!A22="","",data!A22)</f>
        <v/>
      </c>
      <c r="B22">
        <f>IF(data!B22="","",data!B22)</f>
        <v/>
      </c>
      <c r="C22">
        <f>IF(data!D22="","",data!D22)</f>
        <v/>
      </c>
      <c r="D22">
        <f>IF(data!A22="","",COUNT(data!O22:AD22))</f>
        <v/>
      </c>
      <c r="E22">
        <f>IF(data!A22="","",COUNT(data!AP22:BE22))</f>
        <v/>
      </c>
      <c r="F22">
        <f>IF(data!A22="","",IF(COUNT(data!O22:AD22)=16,SUM(data!O22:AD22),""))</f>
        <v/>
      </c>
      <c r="G22">
        <f>IF(data!A22="","",IF(COUNT(data!AP22:BE22)=16,SUM(data!AP22:BE22),""))</f>
        <v/>
      </c>
      <c r="H22">
        <f>IF(COUNT(data!AH22,data!AI22)=0,"",MAX(data!AH22,data!AI22))</f>
        <v/>
      </c>
      <c r="I22">
        <f>IF(COUNT(data!BI22,data!BJ22)=0,"",MAX(data!BI22,data!BJ22))</f>
        <v/>
      </c>
      <c r="J22">
        <f>IF(COUNT(data!AJ22,data!AK22)=0,"",MAX(data!AJ22,data!AK22))</f>
        <v/>
      </c>
      <c r="K22">
        <f>IF(COUNT(data!BK22,data!BL22)=0,"",MAX(data!BK22,data!BL22))</f>
        <v/>
      </c>
      <c r="L22">
        <f>IF(COUNT(data!AL22,data!AM22)=0,"",MIN(data!AL22,data!AM22))</f>
        <v/>
      </c>
      <c r="M22">
        <f>IF(COUNT(data!BM22,data!BN22)=0,"",MIN(data!BM22,data!BN22))</f>
        <v/>
      </c>
      <c r="N22">
        <f>IF(data!A22="","",IF(OR(F22="",G22=""),0,--(F22=G22))+IF(OR(data!AE22="",data!BF22=""),0,--(data!AE22=data!BF22))+IF(OR(data!AF22="",data!BG22=""),0,--(data!AF22=data!BG22))+IF(OR(data!AG22="",data!BH22=""),0,--(data!AG22=data!BH22))+IF(OR(H22="",I22=""),0,--(H22=I22))+IF(OR(J22="",K22=""),0,--(J22=K22))+IF(OR(L22="",M22=""),0,--(L22=M22)))</f>
        <v/>
      </c>
      <c r="O22">
        <f>IF(data!D22&lt;&gt;1,"",--(data!O22="")+--(data!P22="")+--(data!Q22="")+--(data!R22="")+--(data!S22="")+--(data!T22="")+--(data!U22="")+--(data!V22="")+--(data!W22="")+--(data!X22="")+--(data!Y22="")+--(data!Z22="")+--(data!AA22="")+--(data!AB22="")+--(data!AC22="")+--(data!AD22="")+--(data!AE22="")+--(data!AF22="")+--(data!AG22="")+--(data!AH22="")+--(data!AJ22="")+--(data!AL22="")+--(data!AP22="")+--(data!AQ22="")+--(data!AR22="")+--(data!AS22="")+--(data!AT22="")+--(data!AU22="")+--(data!AV22="")+--(data!AW22="")+--(data!AX22="")+--(data!AY22="")+--(data!AZ22="")+--(data!BA22="")+--(data!BB22="")+--(data!BC22="")+--(data!BD22="")+--(data!BE22="")+--(data!BF22="")+--(data!BG22="")+--(data!BH22="")+--(data!BI22="")+--(data!BK22="")+--(data!BM22="")+--(data!J22="")+--(data!K22="")+--(data!L22=""))</f>
        <v/>
      </c>
    </row>
    <row r="23">
      <c r="A23">
        <f>IF(data!A23="","",data!A23)</f>
        <v/>
      </c>
      <c r="B23">
        <f>IF(data!B23="","",data!B23)</f>
        <v/>
      </c>
      <c r="C23">
        <f>IF(data!D23="","",data!D23)</f>
        <v/>
      </c>
      <c r="D23">
        <f>IF(data!A23="","",COUNT(data!O23:AD23))</f>
        <v/>
      </c>
      <c r="E23">
        <f>IF(data!A23="","",COUNT(data!AP23:BE23))</f>
        <v/>
      </c>
      <c r="F23">
        <f>IF(data!A23="","",IF(COUNT(data!O23:AD23)=16,SUM(data!O23:AD23),""))</f>
        <v/>
      </c>
      <c r="G23">
        <f>IF(data!A23="","",IF(COUNT(data!AP23:BE23)=16,SUM(data!AP23:BE23),""))</f>
        <v/>
      </c>
      <c r="H23">
        <f>IF(COUNT(data!AH23,data!AI23)=0,"",MAX(data!AH23,data!AI23))</f>
        <v/>
      </c>
      <c r="I23">
        <f>IF(COUNT(data!BI23,data!BJ23)=0,"",MAX(data!BI23,data!BJ23))</f>
        <v/>
      </c>
      <c r="J23">
        <f>IF(COUNT(data!AJ23,data!AK23)=0,"",MAX(data!AJ23,data!AK23))</f>
        <v/>
      </c>
      <c r="K23">
        <f>IF(COUNT(data!BK23,data!BL23)=0,"",MAX(data!BK23,data!BL23))</f>
        <v/>
      </c>
      <c r="L23">
        <f>IF(COUNT(data!AL23,data!AM23)=0,"",MIN(data!AL23,data!AM23))</f>
        <v/>
      </c>
      <c r="M23">
        <f>IF(COUNT(data!BM23,data!BN23)=0,"",MIN(data!BM23,data!BN23))</f>
        <v/>
      </c>
      <c r="N23">
        <f>IF(data!A23="","",IF(OR(F23="",G23=""),0,--(F23=G23))+IF(OR(data!AE23="",data!BF23=""),0,--(data!AE23=data!BF23))+IF(OR(data!AF23="",data!BG23=""),0,--(data!AF23=data!BG23))+IF(OR(data!AG23="",data!BH23=""),0,--(data!AG23=data!BH23))+IF(OR(H23="",I23=""),0,--(H23=I23))+IF(OR(J23="",K23=""),0,--(J23=K23))+IF(OR(L23="",M23=""),0,--(L23=M23)))</f>
        <v/>
      </c>
      <c r="O23">
        <f>IF(data!D23&lt;&gt;1,"",--(data!O23="")+--(data!P23="")+--(data!Q23="")+--(data!R23="")+--(data!S23="")+--(data!T23="")+--(data!U23="")+--(data!V23="")+--(data!W23="")+--(data!X23="")+--(data!Y23="")+--(data!Z23="")+--(data!AA23="")+--(data!AB23="")+--(data!AC23="")+--(data!AD23="")+--(data!AE23="")+--(data!AF23="")+--(data!AG23="")+--(data!AH23="")+--(data!AJ23="")+--(data!AL23="")+--(data!AP23="")+--(data!AQ23="")+--(data!AR23="")+--(data!AS23="")+--(data!AT23="")+--(data!AU23="")+--(data!AV23="")+--(data!AW23="")+--(data!AX23="")+--(data!AY23="")+--(data!AZ23="")+--(data!BA23="")+--(data!BB23="")+--(data!BC23="")+--(data!BD23="")+--(data!BE23="")+--(data!BF23="")+--(data!BG23="")+--(data!BH23="")+--(data!BI23="")+--(data!BK23="")+--(data!BM23="")+--(data!J23="")+--(data!K23="")+--(data!L23=""))</f>
        <v/>
      </c>
    </row>
    <row r="24">
      <c r="A24">
        <f>IF(data!A24="","",data!A24)</f>
        <v/>
      </c>
      <c r="B24">
        <f>IF(data!B24="","",data!B24)</f>
        <v/>
      </c>
      <c r="C24">
        <f>IF(data!D24="","",data!D24)</f>
        <v/>
      </c>
      <c r="D24">
        <f>IF(data!A24="","",COUNT(data!O24:AD24))</f>
        <v/>
      </c>
      <c r="E24">
        <f>IF(data!A24="","",COUNT(data!AP24:BE24))</f>
        <v/>
      </c>
      <c r="F24">
        <f>IF(data!A24="","",IF(COUNT(data!O24:AD24)=16,SUM(data!O24:AD24),""))</f>
        <v/>
      </c>
      <c r="G24">
        <f>IF(data!A24="","",IF(COUNT(data!AP24:BE24)=16,SUM(data!AP24:BE24),""))</f>
        <v/>
      </c>
      <c r="H24">
        <f>IF(COUNT(data!AH24,data!AI24)=0,"",MAX(data!AH24,data!AI24))</f>
        <v/>
      </c>
      <c r="I24">
        <f>IF(COUNT(data!BI24,data!BJ24)=0,"",MAX(data!BI24,data!BJ24))</f>
        <v/>
      </c>
      <c r="J24">
        <f>IF(COUNT(data!AJ24,data!AK24)=0,"",MAX(data!AJ24,data!AK24))</f>
        <v/>
      </c>
      <c r="K24">
        <f>IF(COUNT(data!BK24,data!BL24)=0,"",MAX(data!BK24,data!BL24))</f>
        <v/>
      </c>
      <c r="L24">
        <f>IF(COUNT(data!AL24,data!AM24)=0,"",MIN(data!AL24,data!AM24))</f>
        <v/>
      </c>
      <c r="M24">
        <f>IF(COUNT(data!BM24,data!BN24)=0,"",MIN(data!BM24,data!BN24))</f>
        <v/>
      </c>
      <c r="N24">
        <f>IF(data!A24="","",IF(OR(F24="",G24=""),0,--(F24=G24))+IF(OR(data!AE24="",data!BF24=""),0,--(data!AE24=data!BF24))+IF(OR(data!AF24="",data!BG24=""),0,--(data!AF24=data!BG24))+IF(OR(data!AG24="",data!BH24=""),0,--(data!AG24=data!BH24))+IF(OR(H24="",I24=""),0,--(H24=I24))+IF(OR(J24="",K24=""),0,--(J24=K24))+IF(OR(L24="",M24=""),0,--(L24=M24)))</f>
        <v/>
      </c>
      <c r="O24">
        <f>IF(data!D24&lt;&gt;1,"",--(data!O24="")+--(data!P24="")+--(data!Q24="")+--(data!R24="")+--(data!S24="")+--(data!T24="")+--(data!U24="")+--(data!V24="")+--(data!W24="")+--(data!X24="")+--(data!Y24="")+--(data!Z24="")+--(data!AA24="")+--(data!AB24="")+--(data!AC24="")+--(data!AD24="")+--(data!AE24="")+--(data!AF24="")+--(data!AG24="")+--(data!AH24="")+--(data!AJ24="")+--(data!AL24="")+--(data!AP24="")+--(data!AQ24="")+--(data!AR24="")+--(data!AS24="")+--(data!AT24="")+--(data!AU24="")+--(data!AV24="")+--(data!AW24="")+--(data!AX24="")+--(data!AY24="")+--(data!AZ24="")+--(data!BA24="")+--(data!BB24="")+--(data!BC24="")+--(data!BD24="")+--(data!BE24="")+--(data!BF24="")+--(data!BG24="")+--(data!BH24="")+--(data!BI24="")+--(data!BK24="")+--(data!BM24="")+--(data!J24="")+--(data!K24="")+--(data!L24=""))</f>
        <v/>
      </c>
    </row>
    <row r="25">
      <c r="A25">
        <f>IF(data!A25="","",data!A25)</f>
        <v/>
      </c>
      <c r="B25">
        <f>IF(data!B25="","",data!B25)</f>
        <v/>
      </c>
      <c r="C25">
        <f>IF(data!D25="","",data!D25)</f>
        <v/>
      </c>
      <c r="D25">
        <f>IF(data!A25="","",COUNT(data!O25:AD25))</f>
        <v/>
      </c>
      <c r="E25">
        <f>IF(data!A25="","",COUNT(data!AP25:BE25))</f>
        <v/>
      </c>
      <c r="F25">
        <f>IF(data!A25="","",IF(COUNT(data!O25:AD25)=16,SUM(data!O25:AD25),""))</f>
        <v/>
      </c>
      <c r="G25">
        <f>IF(data!A25="","",IF(COUNT(data!AP25:BE25)=16,SUM(data!AP25:BE25),""))</f>
        <v/>
      </c>
      <c r="H25">
        <f>IF(COUNT(data!AH25,data!AI25)=0,"",MAX(data!AH25,data!AI25))</f>
        <v/>
      </c>
      <c r="I25">
        <f>IF(COUNT(data!BI25,data!BJ25)=0,"",MAX(data!BI25,data!BJ25))</f>
        <v/>
      </c>
      <c r="J25">
        <f>IF(COUNT(data!AJ25,data!AK25)=0,"",MAX(data!AJ25,data!AK25))</f>
        <v/>
      </c>
      <c r="K25">
        <f>IF(COUNT(data!BK25,data!BL25)=0,"",MAX(data!BK25,data!BL25))</f>
        <v/>
      </c>
      <c r="L25">
        <f>IF(COUNT(data!AL25,data!AM25)=0,"",MIN(data!AL25,data!AM25))</f>
        <v/>
      </c>
      <c r="M25">
        <f>IF(COUNT(data!BM25,data!BN25)=0,"",MIN(data!BM25,data!BN25))</f>
        <v/>
      </c>
      <c r="N25">
        <f>IF(data!A25="","",IF(OR(F25="",G25=""),0,--(F25=G25))+IF(OR(data!AE25="",data!BF25=""),0,--(data!AE25=data!BF25))+IF(OR(data!AF25="",data!BG25=""),0,--(data!AF25=data!BG25))+IF(OR(data!AG25="",data!BH25=""),0,--(data!AG25=data!BH25))+IF(OR(H25="",I25=""),0,--(H25=I25))+IF(OR(J25="",K25=""),0,--(J25=K25))+IF(OR(L25="",M25=""),0,--(L25=M25)))</f>
        <v/>
      </c>
      <c r="O25">
        <f>IF(data!D25&lt;&gt;1,"",--(data!O25="")+--(data!P25="")+--(data!Q25="")+--(data!R25="")+--(data!S25="")+--(data!T25="")+--(data!U25="")+--(data!V25="")+--(data!W25="")+--(data!X25="")+--(data!Y25="")+--(data!Z25="")+--(data!AA25="")+--(data!AB25="")+--(data!AC25="")+--(data!AD25="")+--(data!AE25="")+--(data!AF25="")+--(data!AG25="")+--(data!AH25="")+--(data!AJ25="")+--(data!AL25="")+--(data!AP25="")+--(data!AQ25="")+--(data!AR25="")+--(data!AS25="")+--(data!AT25="")+--(data!AU25="")+--(data!AV25="")+--(data!AW25="")+--(data!AX25="")+--(data!AY25="")+--(data!AZ25="")+--(data!BA25="")+--(data!BB25="")+--(data!BC25="")+--(data!BD25="")+--(data!BE25="")+--(data!BF25="")+--(data!BG25="")+--(data!BH25="")+--(data!BI25="")+--(data!BK25="")+--(data!BM25="")+--(data!J25="")+--(data!K25="")+--(data!L25=""))</f>
        <v/>
      </c>
    </row>
    <row r="26">
      <c r="A26">
        <f>IF(data!A26="","",data!A26)</f>
        <v/>
      </c>
      <c r="B26">
        <f>IF(data!B26="","",data!B26)</f>
        <v/>
      </c>
      <c r="C26">
        <f>IF(data!D26="","",data!D26)</f>
        <v/>
      </c>
      <c r="D26">
        <f>IF(data!A26="","",COUNT(data!O26:AD26))</f>
        <v/>
      </c>
      <c r="E26">
        <f>IF(data!A26="","",COUNT(data!AP26:BE26))</f>
        <v/>
      </c>
      <c r="F26">
        <f>IF(data!A26="","",IF(COUNT(data!O26:AD26)=16,SUM(data!O26:AD26),""))</f>
        <v/>
      </c>
      <c r="G26">
        <f>IF(data!A26="","",IF(COUNT(data!AP26:BE26)=16,SUM(data!AP26:BE26),""))</f>
        <v/>
      </c>
      <c r="H26">
        <f>IF(COUNT(data!AH26,data!AI26)=0,"",MAX(data!AH26,data!AI26))</f>
        <v/>
      </c>
      <c r="I26">
        <f>IF(COUNT(data!BI26,data!BJ26)=0,"",MAX(data!BI26,data!BJ26))</f>
        <v/>
      </c>
      <c r="J26">
        <f>IF(COUNT(data!AJ26,data!AK26)=0,"",MAX(data!AJ26,data!AK26))</f>
        <v/>
      </c>
      <c r="K26">
        <f>IF(COUNT(data!BK26,data!BL26)=0,"",MAX(data!BK26,data!BL26))</f>
        <v/>
      </c>
      <c r="L26">
        <f>IF(COUNT(data!AL26,data!AM26)=0,"",MIN(data!AL26,data!AM26))</f>
        <v/>
      </c>
      <c r="M26">
        <f>IF(COUNT(data!BM26,data!BN26)=0,"",MIN(data!BM26,data!BN26))</f>
        <v/>
      </c>
      <c r="N26">
        <f>IF(data!A26="","",IF(OR(F26="",G26=""),0,--(F26=G26))+IF(OR(data!AE26="",data!BF26=""),0,--(data!AE26=data!BF26))+IF(OR(data!AF26="",data!BG26=""),0,--(data!AF26=data!BG26))+IF(OR(data!AG26="",data!BH26=""),0,--(data!AG26=data!BH26))+IF(OR(H26="",I26=""),0,--(H26=I26))+IF(OR(J26="",K26=""),0,--(J26=K26))+IF(OR(L26="",M26=""),0,--(L26=M26)))</f>
        <v/>
      </c>
      <c r="O26">
        <f>IF(data!D26&lt;&gt;1,"",--(data!O26="")+--(data!P26="")+--(data!Q26="")+--(data!R26="")+--(data!S26="")+--(data!T26="")+--(data!U26="")+--(data!V26="")+--(data!W26="")+--(data!X26="")+--(data!Y26="")+--(data!Z26="")+--(data!AA26="")+--(data!AB26="")+--(data!AC26="")+--(data!AD26="")+--(data!AE26="")+--(data!AF26="")+--(data!AG26="")+--(data!AH26="")+--(data!AJ26="")+--(data!AL26="")+--(data!AP26="")+--(data!AQ26="")+--(data!AR26="")+--(data!AS26="")+--(data!AT26="")+--(data!AU26="")+--(data!AV26="")+--(data!AW26="")+--(data!AX26="")+--(data!AY26="")+--(data!AZ26="")+--(data!BA26="")+--(data!BB26="")+--(data!BC26="")+--(data!BD26="")+--(data!BE26="")+--(data!BF26="")+--(data!BG26="")+--(data!BH26="")+--(data!BI26="")+--(data!BK26="")+--(data!BM26="")+--(data!J26="")+--(data!K26="")+--(data!L26=""))</f>
        <v/>
      </c>
    </row>
    <row r="27">
      <c r="A27">
        <f>IF(data!A27="","",data!A27)</f>
        <v/>
      </c>
      <c r="B27">
        <f>IF(data!B27="","",data!B27)</f>
        <v/>
      </c>
      <c r="C27">
        <f>IF(data!D27="","",data!D27)</f>
        <v/>
      </c>
      <c r="D27">
        <f>IF(data!A27="","",COUNT(data!O27:AD27))</f>
        <v/>
      </c>
      <c r="E27">
        <f>IF(data!A27="","",COUNT(data!AP27:BE27))</f>
        <v/>
      </c>
      <c r="F27">
        <f>IF(data!A27="","",IF(COUNT(data!O27:AD27)=16,SUM(data!O27:AD27),""))</f>
        <v/>
      </c>
      <c r="G27">
        <f>IF(data!A27="","",IF(COUNT(data!AP27:BE27)=16,SUM(data!AP27:BE27),""))</f>
        <v/>
      </c>
      <c r="H27">
        <f>IF(COUNT(data!AH27,data!AI27)=0,"",MAX(data!AH27,data!AI27))</f>
        <v/>
      </c>
      <c r="I27">
        <f>IF(COUNT(data!BI27,data!BJ27)=0,"",MAX(data!BI27,data!BJ27))</f>
        <v/>
      </c>
      <c r="J27">
        <f>IF(COUNT(data!AJ27,data!AK27)=0,"",MAX(data!AJ27,data!AK27))</f>
        <v/>
      </c>
      <c r="K27">
        <f>IF(COUNT(data!BK27,data!BL27)=0,"",MAX(data!BK27,data!BL27))</f>
        <v/>
      </c>
      <c r="L27">
        <f>IF(COUNT(data!AL27,data!AM27)=0,"",MIN(data!AL27,data!AM27))</f>
        <v/>
      </c>
      <c r="M27">
        <f>IF(COUNT(data!BM27,data!BN27)=0,"",MIN(data!BM27,data!BN27))</f>
        <v/>
      </c>
      <c r="N27">
        <f>IF(data!A27="","",IF(OR(F27="",G27=""),0,--(F27=G27))+IF(OR(data!AE27="",data!BF27=""),0,--(data!AE27=data!BF27))+IF(OR(data!AF27="",data!BG27=""),0,--(data!AF27=data!BG27))+IF(OR(data!AG27="",data!BH27=""),0,--(data!AG27=data!BH27))+IF(OR(H27="",I27=""),0,--(H27=I27))+IF(OR(J27="",K27=""),0,--(J27=K27))+IF(OR(L27="",M27=""),0,--(L27=M27)))</f>
        <v/>
      </c>
      <c r="O27">
        <f>IF(data!D27&lt;&gt;1,"",--(data!O27="")+--(data!P27="")+--(data!Q27="")+--(data!R27="")+--(data!S27="")+--(data!T27="")+--(data!U27="")+--(data!V27="")+--(data!W27="")+--(data!X27="")+--(data!Y27="")+--(data!Z27="")+--(data!AA27="")+--(data!AB27="")+--(data!AC27="")+--(data!AD27="")+--(data!AE27="")+--(data!AF27="")+--(data!AG27="")+--(data!AH27="")+--(data!AJ27="")+--(data!AL27="")+--(data!AP27="")+--(data!AQ27="")+--(data!AR27="")+--(data!AS27="")+--(data!AT27="")+--(data!AU27="")+--(data!AV27="")+--(data!AW27="")+--(data!AX27="")+--(data!AY27="")+--(data!AZ27="")+--(data!BA27="")+--(data!BB27="")+--(data!BC27="")+--(data!BD27="")+--(data!BE27="")+--(data!BF27="")+--(data!BG27="")+--(data!BH27="")+--(data!BI27="")+--(data!BK27="")+--(data!BM27="")+--(data!J27="")+--(data!K27="")+--(data!L27=""))</f>
        <v/>
      </c>
    </row>
    <row r="28">
      <c r="A28">
        <f>IF(data!A28="","",data!A28)</f>
        <v/>
      </c>
      <c r="B28">
        <f>IF(data!B28="","",data!B28)</f>
        <v/>
      </c>
      <c r="C28">
        <f>IF(data!D28="","",data!D28)</f>
        <v/>
      </c>
      <c r="D28">
        <f>IF(data!A28="","",COUNT(data!O28:AD28))</f>
        <v/>
      </c>
      <c r="E28">
        <f>IF(data!A28="","",COUNT(data!AP28:BE28))</f>
        <v/>
      </c>
      <c r="F28">
        <f>IF(data!A28="","",IF(COUNT(data!O28:AD28)=16,SUM(data!O28:AD28),""))</f>
        <v/>
      </c>
      <c r="G28">
        <f>IF(data!A28="","",IF(COUNT(data!AP28:BE28)=16,SUM(data!AP28:BE28),""))</f>
        <v/>
      </c>
      <c r="H28">
        <f>IF(COUNT(data!AH28,data!AI28)=0,"",MAX(data!AH28,data!AI28))</f>
        <v/>
      </c>
      <c r="I28">
        <f>IF(COUNT(data!BI28,data!BJ28)=0,"",MAX(data!BI28,data!BJ28))</f>
        <v/>
      </c>
      <c r="J28">
        <f>IF(COUNT(data!AJ28,data!AK28)=0,"",MAX(data!AJ28,data!AK28))</f>
        <v/>
      </c>
      <c r="K28">
        <f>IF(COUNT(data!BK28,data!BL28)=0,"",MAX(data!BK28,data!BL28))</f>
        <v/>
      </c>
      <c r="L28">
        <f>IF(COUNT(data!AL28,data!AM28)=0,"",MIN(data!AL28,data!AM28))</f>
        <v/>
      </c>
      <c r="M28">
        <f>IF(COUNT(data!BM28,data!BN28)=0,"",MIN(data!BM28,data!BN28))</f>
        <v/>
      </c>
      <c r="N28">
        <f>IF(data!A28="","",IF(OR(F28="",G28=""),0,--(F28=G28))+IF(OR(data!AE28="",data!BF28=""),0,--(data!AE28=data!BF28))+IF(OR(data!AF28="",data!BG28=""),0,--(data!AF28=data!BG28))+IF(OR(data!AG28="",data!BH28=""),0,--(data!AG28=data!BH28))+IF(OR(H28="",I28=""),0,--(H28=I28))+IF(OR(J28="",K28=""),0,--(J28=K28))+IF(OR(L28="",M28=""),0,--(L28=M28)))</f>
        <v/>
      </c>
      <c r="O28">
        <f>IF(data!D28&lt;&gt;1,"",--(data!O28="")+--(data!P28="")+--(data!Q28="")+--(data!R28="")+--(data!S28="")+--(data!T28="")+--(data!U28="")+--(data!V28="")+--(data!W28="")+--(data!X28="")+--(data!Y28="")+--(data!Z28="")+--(data!AA28="")+--(data!AB28="")+--(data!AC28="")+--(data!AD28="")+--(data!AE28="")+--(data!AF28="")+--(data!AG28="")+--(data!AH28="")+--(data!AJ28="")+--(data!AL28="")+--(data!AP28="")+--(data!AQ28="")+--(data!AR28="")+--(data!AS28="")+--(data!AT28="")+--(data!AU28="")+--(data!AV28="")+--(data!AW28="")+--(data!AX28="")+--(data!AY28="")+--(data!AZ28="")+--(data!BA28="")+--(data!BB28="")+--(data!BC28="")+--(data!BD28="")+--(data!BE28="")+--(data!BF28="")+--(data!BG28="")+--(data!BH28="")+--(data!BI28="")+--(data!BK28="")+--(data!BM28="")+--(data!J28="")+--(data!K28="")+--(data!L28=""))</f>
        <v/>
      </c>
    </row>
    <row r="29">
      <c r="A29">
        <f>IF(data!A29="","",data!A29)</f>
        <v/>
      </c>
      <c r="B29">
        <f>IF(data!B29="","",data!B29)</f>
        <v/>
      </c>
      <c r="C29">
        <f>IF(data!D29="","",data!D29)</f>
        <v/>
      </c>
      <c r="D29">
        <f>IF(data!A29="","",COUNT(data!O29:AD29))</f>
        <v/>
      </c>
      <c r="E29">
        <f>IF(data!A29="","",COUNT(data!AP29:BE29))</f>
        <v/>
      </c>
      <c r="F29">
        <f>IF(data!A29="","",IF(COUNT(data!O29:AD29)=16,SUM(data!O29:AD29),""))</f>
        <v/>
      </c>
      <c r="G29">
        <f>IF(data!A29="","",IF(COUNT(data!AP29:BE29)=16,SUM(data!AP29:BE29),""))</f>
        <v/>
      </c>
      <c r="H29">
        <f>IF(COUNT(data!AH29,data!AI29)=0,"",MAX(data!AH29,data!AI29))</f>
        <v/>
      </c>
      <c r="I29">
        <f>IF(COUNT(data!BI29,data!BJ29)=0,"",MAX(data!BI29,data!BJ29))</f>
        <v/>
      </c>
      <c r="J29">
        <f>IF(COUNT(data!AJ29,data!AK29)=0,"",MAX(data!AJ29,data!AK29))</f>
        <v/>
      </c>
      <c r="K29">
        <f>IF(COUNT(data!BK29,data!BL29)=0,"",MAX(data!BK29,data!BL29))</f>
        <v/>
      </c>
      <c r="L29">
        <f>IF(COUNT(data!AL29,data!AM29)=0,"",MIN(data!AL29,data!AM29))</f>
        <v/>
      </c>
      <c r="M29">
        <f>IF(COUNT(data!BM29,data!BN29)=0,"",MIN(data!BM29,data!BN29))</f>
        <v/>
      </c>
      <c r="N29">
        <f>IF(data!A29="","",IF(OR(F29="",G29=""),0,--(F29=G29))+IF(OR(data!AE29="",data!BF29=""),0,--(data!AE29=data!BF29))+IF(OR(data!AF29="",data!BG29=""),0,--(data!AF29=data!BG29))+IF(OR(data!AG29="",data!BH29=""),0,--(data!AG29=data!BH29))+IF(OR(H29="",I29=""),0,--(H29=I29))+IF(OR(J29="",K29=""),0,--(J29=K29))+IF(OR(L29="",M29=""),0,--(L29=M29)))</f>
        <v/>
      </c>
      <c r="O29">
        <f>IF(data!D29&lt;&gt;1,"",--(data!O29="")+--(data!P29="")+--(data!Q29="")+--(data!R29="")+--(data!S29="")+--(data!T29="")+--(data!U29="")+--(data!V29="")+--(data!W29="")+--(data!X29="")+--(data!Y29="")+--(data!Z29="")+--(data!AA29="")+--(data!AB29="")+--(data!AC29="")+--(data!AD29="")+--(data!AE29="")+--(data!AF29="")+--(data!AG29="")+--(data!AH29="")+--(data!AJ29="")+--(data!AL29="")+--(data!AP29="")+--(data!AQ29="")+--(data!AR29="")+--(data!AS29="")+--(data!AT29="")+--(data!AU29="")+--(data!AV29="")+--(data!AW29="")+--(data!AX29="")+--(data!AY29="")+--(data!AZ29="")+--(data!BA29="")+--(data!BB29="")+--(data!BC29="")+--(data!BD29="")+--(data!BE29="")+--(data!BF29="")+--(data!BG29="")+--(data!BH29="")+--(data!BI29="")+--(data!BK29="")+--(data!BM29="")+--(data!J29="")+--(data!K29="")+--(data!L29=""))</f>
        <v/>
      </c>
    </row>
    <row r="30">
      <c r="A30">
        <f>IF(data!A30="","",data!A30)</f>
        <v/>
      </c>
      <c r="B30">
        <f>IF(data!B30="","",data!B30)</f>
        <v/>
      </c>
      <c r="C30">
        <f>IF(data!D30="","",data!D30)</f>
        <v/>
      </c>
      <c r="D30">
        <f>IF(data!A30="","",COUNT(data!O30:AD30))</f>
        <v/>
      </c>
      <c r="E30">
        <f>IF(data!A30="","",COUNT(data!AP30:BE30))</f>
        <v/>
      </c>
      <c r="F30">
        <f>IF(data!A30="","",IF(COUNT(data!O30:AD30)=16,SUM(data!O30:AD30),""))</f>
        <v/>
      </c>
      <c r="G30">
        <f>IF(data!A30="","",IF(COUNT(data!AP30:BE30)=16,SUM(data!AP30:BE30),""))</f>
        <v/>
      </c>
      <c r="H30">
        <f>IF(COUNT(data!AH30,data!AI30)=0,"",MAX(data!AH30,data!AI30))</f>
        <v/>
      </c>
      <c r="I30">
        <f>IF(COUNT(data!BI30,data!BJ30)=0,"",MAX(data!BI30,data!BJ30))</f>
        <v/>
      </c>
      <c r="J30">
        <f>IF(COUNT(data!AJ30,data!AK30)=0,"",MAX(data!AJ30,data!AK30))</f>
        <v/>
      </c>
      <c r="K30">
        <f>IF(COUNT(data!BK30,data!BL30)=0,"",MAX(data!BK30,data!BL30))</f>
        <v/>
      </c>
      <c r="L30">
        <f>IF(COUNT(data!AL30,data!AM30)=0,"",MIN(data!AL30,data!AM30))</f>
        <v/>
      </c>
      <c r="M30">
        <f>IF(COUNT(data!BM30,data!BN30)=0,"",MIN(data!BM30,data!BN30))</f>
        <v/>
      </c>
      <c r="N30">
        <f>IF(data!A30="","",IF(OR(F30="",G30=""),0,--(F30=G30))+IF(OR(data!AE30="",data!BF30=""),0,--(data!AE30=data!BF30))+IF(OR(data!AF30="",data!BG30=""),0,--(data!AF30=data!BG30))+IF(OR(data!AG30="",data!BH30=""),0,--(data!AG30=data!BH30))+IF(OR(H30="",I30=""),0,--(H30=I30))+IF(OR(J30="",K30=""),0,--(J30=K30))+IF(OR(L30="",M30=""),0,--(L30=M30)))</f>
        <v/>
      </c>
      <c r="O30">
        <f>IF(data!D30&lt;&gt;1,"",--(data!O30="")+--(data!P30="")+--(data!Q30="")+--(data!R30="")+--(data!S30="")+--(data!T30="")+--(data!U30="")+--(data!V30="")+--(data!W30="")+--(data!X30="")+--(data!Y30="")+--(data!Z30="")+--(data!AA30="")+--(data!AB30="")+--(data!AC30="")+--(data!AD30="")+--(data!AE30="")+--(data!AF30="")+--(data!AG30="")+--(data!AH30="")+--(data!AJ30="")+--(data!AL30="")+--(data!AP30="")+--(data!AQ30="")+--(data!AR30="")+--(data!AS30="")+--(data!AT30="")+--(data!AU30="")+--(data!AV30="")+--(data!AW30="")+--(data!AX30="")+--(data!AY30="")+--(data!AZ30="")+--(data!BA30="")+--(data!BB30="")+--(data!BC30="")+--(data!BD30="")+--(data!BE30="")+--(data!BF30="")+--(data!BG30="")+--(data!BH30="")+--(data!BI30="")+--(data!BK30="")+--(data!BM30="")+--(data!J30="")+--(data!K30="")+--(data!L30=""))</f>
        <v/>
      </c>
    </row>
    <row r="31">
      <c r="A31">
        <f>IF(data!A31="","",data!A31)</f>
        <v/>
      </c>
      <c r="B31">
        <f>IF(data!B31="","",data!B31)</f>
        <v/>
      </c>
      <c r="C31">
        <f>IF(data!D31="","",data!D31)</f>
        <v/>
      </c>
      <c r="D31">
        <f>IF(data!A31="","",COUNT(data!O31:AD31))</f>
        <v/>
      </c>
      <c r="E31">
        <f>IF(data!A31="","",COUNT(data!AP31:BE31))</f>
        <v/>
      </c>
      <c r="F31">
        <f>IF(data!A31="","",IF(COUNT(data!O31:AD31)=16,SUM(data!O31:AD31),""))</f>
        <v/>
      </c>
      <c r="G31">
        <f>IF(data!A31="","",IF(COUNT(data!AP31:BE31)=16,SUM(data!AP31:BE31),""))</f>
        <v/>
      </c>
      <c r="H31">
        <f>IF(COUNT(data!AH31,data!AI31)=0,"",MAX(data!AH31,data!AI31))</f>
        <v/>
      </c>
      <c r="I31">
        <f>IF(COUNT(data!BI31,data!BJ31)=0,"",MAX(data!BI31,data!BJ31))</f>
        <v/>
      </c>
      <c r="J31">
        <f>IF(COUNT(data!AJ31,data!AK31)=0,"",MAX(data!AJ31,data!AK31))</f>
        <v/>
      </c>
      <c r="K31">
        <f>IF(COUNT(data!BK31,data!BL31)=0,"",MAX(data!BK31,data!BL31))</f>
        <v/>
      </c>
      <c r="L31">
        <f>IF(COUNT(data!AL31,data!AM31)=0,"",MIN(data!AL31,data!AM31))</f>
        <v/>
      </c>
      <c r="M31">
        <f>IF(COUNT(data!BM31,data!BN31)=0,"",MIN(data!BM31,data!BN31))</f>
        <v/>
      </c>
      <c r="N31">
        <f>IF(data!A31="","",IF(OR(F31="",G31=""),0,--(F31=G31))+IF(OR(data!AE31="",data!BF31=""),0,--(data!AE31=data!BF31))+IF(OR(data!AF31="",data!BG31=""),0,--(data!AF31=data!BG31))+IF(OR(data!AG31="",data!BH31=""),0,--(data!AG31=data!BH31))+IF(OR(H31="",I31=""),0,--(H31=I31))+IF(OR(J31="",K31=""),0,--(J31=K31))+IF(OR(L31="",M31=""),0,--(L31=M31)))</f>
        <v/>
      </c>
      <c r="O31">
        <f>IF(data!D31&lt;&gt;1,"",--(data!O31="")+--(data!P31="")+--(data!Q31="")+--(data!R31="")+--(data!S31="")+--(data!T31="")+--(data!U31="")+--(data!V31="")+--(data!W31="")+--(data!X31="")+--(data!Y31="")+--(data!Z31="")+--(data!AA31="")+--(data!AB31="")+--(data!AC31="")+--(data!AD31="")+--(data!AE31="")+--(data!AF31="")+--(data!AG31="")+--(data!AH31="")+--(data!AJ31="")+--(data!AL31="")+--(data!AP31="")+--(data!AQ31="")+--(data!AR31="")+--(data!AS31="")+--(data!AT31="")+--(data!AU31="")+--(data!AV31="")+--(data!AW31="")+--(data!AX31="")+--(data!AY31="")+--(data!AZ31="")+--(data!BA31="")+--(data!BB31="")+--(data!BC31="")+--(data!BD31="")+--(data!BE31="")+--(data!BF31="")+--(data!BG31="")+--(data!BH31="")+--(data!BI31="")+--(data!BK31="")+--(data!BM31="")+--(data!J31="")+--(data!K31="")+--(data!L31=""))</f>
        <v/>
      </c>
    </row>
    <row r="32">
      <c r="A32">
        <f>IF(data!A32="","",data!A32)</f>
        <v/>
      </c>
      <c r="B32">
        <f>IF(data!B32="","",data!B32)</f>
        <v/>
      </c>
      <c r="C32">
        <f>IF(data!D32="","",data!D32)</f>
        <v/>
      </c>
      <c r="D32">
        <f>IF(data!A32="","",COUNT(data!O32:AD32))</f>
        <v/>
      </c>
      <c r="E32">
        <f>IF(data!A32="","",COUNT(data!AP32:BE32))</f>
        <v/>
      </c>
      <c r="F32">
        <f>IF(data!A32="","",IF(COUNT(data!O32:AD32)=16,SUM(data!O32:AD32),""))</f>
        <v/>
      </c>
      <c r="G32">
        <f>IF(data!A32="","",IF(COUNT(data!AP32:BE32)=16,SUM(data!AP32:BE32),""))</f>
        <v/>
      </c>
      <c r="H32">
        <f>IF(COUNT(data!AH32,data!AI32)=0,"",MAX(data!AH32,data!AI32))</f>
        <v/>
      </c>
      <c r="I32">
        <f>IF(COUNT(data!BI32,data!BJ32)=0,"",MAX(data!BI32,data!BJ32))</f>
        <v/>
      </c>
      <c r="J32">
        <f>IF(COUNT(data!AJ32,data!AK32)=0,"",MAX(data!AJ32,data!AK32))</f>
        <v/>
      </c>
      <c r="K32">
        <f>IF(COUNT(data!BK32,data!BL32)=0,"",MAX(data!BK32,data!BL32))</f>
        <v/>
      </c>
      <c r="L32">
        <f>IF(COUNT(data!AL32,data!AM32)=0,"",MIN(data!AL32,data!AM32))</f>
        <v/>
      </c>
      <c r="M32">
        <f>IF(COUNT(data!BM32,data!BN32)=0,"",MIN(data!BM32,data!BN32))</f>
        <v/>
      </c>
      <c r="N32">
        <f>IF(data!A32="","",IF(OR(F32="",G32=""),0,--(F32=G32))+IF(OR(data!AE32="",data!BF32=""),0,--(data!AE32=data!BF32))+IF(OR(data!AF32="",data!BG32=""),0,--(data!AF32=data!BG32))+IF(OR(data!AG32="",data!BH32=""),0,--(data!AG32=data!BH32))+IF(OR(H32="",I32=""),0,--(H32=I32))+IF(OR(J32="",K32=""),0,--(J32=K32))+IF(OR(L32="",M32=""),0,--(L32=M32)))</f>
        <v/>
      </c>
      <c r="O32">
        <f>IF(data!D32&lt;&gt;1,"",--(data!O32="")+--(data!P32="")+--(data!Q32="")+--(data!R32="")+--(data!S32="")+--(data!T32="")+--(data!U32="")+--(data!V32="")+--(data!W32="")+--(data!X32="")+--(data!Y32="")+--(data!Z32="")+--(data!AA32="")+--(data!AB32="")+--(data!AC32="")+--(data!AD32="")+--(data!AE32="")+--(data!AF32="")+--(data!AG32="")+--(data!AH32="")+--(data!AJ32="")+--(data!AL32="")+--(data!AP32="")+--(data!AQ32="")+--(data!AR32="")+--(data!AS32="")+--(data!AT32="")+--(data!AU32="")+--(data!AV32="")+--(data!AW32="")+--(data!AX32="")+--(data!AY32="")+--(data!AZ32="")+--(data!BA32="")+--(data!BB32="")+--(data!BC32="")+--(data!BD32="")+--(data!BE32="")+--(data!BF32="")+--(data!BG32="")+--(data!BH32="")+--(data!BI32="")+--(data!BK32="")+--(data!BM32="")+--(data!J32="")+--(data!K32="")+--(data!L32=""))</f>
        <v/>
      </c>
    </row>
    <row r="33">
      <c r="A33">
        <f>IF(data!A33="","",data!A33)</f>
        <v/>
      </c>
      <c r="B33">
        <f>IF(data!B33="","",data!B33)</f>
        <v/>
      </c>
      <c r="C33">
        <f>IF(data!D33="","",data!D33)</f>
        <v/>
      </c>
      <c r="D33">
        <f>IF(data!A33="","",COUNT(data!O33:AD33))</f>
        <v/>
      </c>
      <c r="E33">
        <f>IF(data!A33="","",COUNT(data!AP33:BE33))</f>
        <v/>
      </c>
      <c r="F33">
        <f>IF(data!A33="","",IF(COUNT(data!O33:AD33)=16,SUM(data!O33:AD33),""))</f>
        <v/>
      </c>
      <c r="G33">
        <f>IF(data!A33="","",IF(COUNT(data!AP33:BE33)=16,SUM(data!AP33:BE33),""))</f>
        <v/>
      </c>
      <c r="H33">
        <f>IF(COUNT(data!AH33,data!AI33)=0,"",MAX(data!AH33,data!AI33))</f>
        <v/>
      </c>
      <c r="I33">
        <f>IF(COUNT(data!BI33,data!BJ33)=0,"",MAX(data!BI33,data!BJ33))</f>
        <v/>
      </c>
      <c r="J33">
        <f>IF(COUNT(data!AJ33,data!AK33)=0,"",MAX(data!AJ33,data!AK33))</f>
        <v/>
      </c>
      <c r="K33">
        <f>IF(COUNT(data!BK33,data!BL33)=0,"",MAX(data!BK33,data!BL33))</f>
        <v/>
      </c>
      <c r="L33">
        <f>IF(COUNT(data!AL33,data!AM33)=0,"",MIN(data!AL33,data!AM33))</f>
        <v/>
      </c>
      <c r="M33">
        <f>IF(COUNT(data!BM33,data!BN33)=0,"",MIN(data!BM33,data!BN33))</f>
        <v/>
      </c>
      <c r="N33">
        <f>IF(data!A33="","",IF(OR(F33="",G33=""),0,--(F33=G33))+IF(OR(data!AE33="",data!BF33=""),0,--(data!AE33=data!BF33))+IF(OR(data!AF33="",data!BG33=""),0,--(data!AF33=data!BG33))+IF(OR(data!AG33="",data!BH33=""),0,--(data!AG33=data!BH33))+IF(OR(H33="",I33=""),0,--(H33=I33))+IF(OR(J33="",K33=""),0,--(J33=K33))+IF(OR(L33="",M33=""),0,--(L33=M33)))</f>
        <v/>
      </c>
      <c r="O33">
        <f>IF(data!D33&lt;&gt;1,"",--(data!O33="")+--(data!P33="")+--(data!Q33="")+--(data!R33="")+--(data!S33="")+--(data!T33="")+--(data!U33="")+--(data!V33="")+--(data!W33="")+--(data!X33="")+--(data!Y33="")+--(data!Z33="")+--(data!AA33="")+--(data!AB33="")+--(data!AC33="")+--(data!AD33="")+--(data!AE33="")+--(data!AF33="")+--(data!AG33="")+--(data!AH33="")+--(data!AJ33="")+--(data!AL33="")+--(data!AP33="")+--(data!AQ33="")+--(data!AR33="")+--(data!AS33="")+--(data!AT33="")+--(data!AU33="")+--(data!AV33="")+--(data!AW33="")+--(data!AX33="")+--(data!AY33="")+--(data!AZ33="")+--(data!BA33="")+--(data!BB33="")+--(data!BC33="")+--(data!BD33="")+--(data!BE33="")+--(data!BF33="")+--(data!BG33="")+--(data!BH33="")+--(data!BI33="")+--(data!BK33="")+--(data!BM33="")+--(data!J33="")+--(data!K33="")+--(data!L33=""))</f>
        <v/>
      </c>
    </row>
    <row r="34">
      <c r="A34">
        <f>IF(data!A34="","",data!A34)</f>
        <v/>
      </c>
      <c r="B34">
        <f>IF(data!B34="","",data!B34)</f>
        <v/>
      </c>
      <c r="C34">
        <f>IF(data!D34="","",data!D34)</f>
        <v/>
      </c>
      <c r="D34">
        <f>IF(data!A34="","",COUNT(data!O34:AD34))</f>
        <v/>
      </c>
      <c r="E34">
        <f>IF(data!A34="","",COUNT(data!AP34:BE34))</f>
        <v/>
      </c>
      <c r="F34">
        <f>IF(data!A34="","",IF(COUNT(data!O34:AD34)=16,SUM(data!O34:AD34),""))</f>
        <v/>
      </c>
      <c r="G34">
        <f>IF(data!A34="","",IF(COUNT(data!AP34:BE34)=16,SUM(data!AP34:BE34),""))</f>
        <v/>
      </c>
      <c r="H34">
        <f>IF(COUNT(data!AH34,data!AI34)=0,"",MAX(data!AH34,data!AI34))</f>
        <v/>
      </c>
      <c r="I34">
        <f>IF(COUNT(data!BI34,data!BJ34)=0,"",MAX(data!BI34,data!BJ34))</f>
        <v/>
      </c>
      <c r="J34">
        <f>IF(COUNT(data!AJ34,data!AK34)=0,"",MAX(data!AJ34,data!AK34))</f>
        <v/>
      </c>
      <c r="K34">
        <f>IF(COUNT(data!BK34,data!BL34)=0,"",MAX(data!BK34,data!BL34))</f>
        <v/>
      </c>
      <c r="L34">
        <f>IF(COUNT(data!AL34,data!AM34)=0,"",MIN(data!AL34,data!AM34))</f>
        <v/>
      </c>
      <c r="M34">
        <f>IF(COUNT(data!BM34,data!BN34)=0,"",MIN(data!BM34,data!BN34))</f>
        <v/>
      </c>
      <c r="N34">
        <f>IF(data!A34="","",IF(OR(F34="",G34=""),0,--(F34=G34))+IF(OR(data!AE34="",data!BF34=""),0,--(data!AE34=data!BF34))+IF(OR(data!AF34="",data!BG34=""),0,--(data!AF34=data!BG34))+IF(OR(data!AG34="",data!BH34=""),0,--(data!AG34=data!BH34))+IF(OR(H34="",I34=""),0,--(H34=I34))+IF(OR(J34="",K34=""),0,--(J34=K34))+IF(OR(L34="",M34=""),0,--(L34=M34)))</f>
        <v/>
      </c>
      <c r="O34">
        <f>IF(data!D34&lt;&gt;1,"",--(data!O34="")+--(data!P34="")+--(data!Q34="")+--(data!R34="")+--(data!S34="")+--(data!T34="")+--(data!U34="")+--(data!V34="")+--(data!W34="")+--(data!X34="")+--(data!Y34="")+--(data!Z34="")+--(data!AA34="")+--(data!AB34="")+--(data!AC34="")+--(data!AD34="")+--(data!AE34="")+--(data!AF34="")+--(data!AG34="")+--(data!AH34="")+--(data!AJ34="")+--(data!AL34="")+--(data!AP34="")+--(data!AQ34="")+--(data!AR34="")+--(data!AS34="")+--(data!AT34="")+--(data!AU34="")+--(data!AV34="")+--(data!AW34="")+--(data!AX34="")+--(data!AY34="")+--(data!AZ34="")+--(data!BA34="")+--(data!BB34="")+--(data!BC34="")+--(data!BD34="")+--(data!BE34="")+--(data!BF34="")+--(data!BG34="")+--(data!BH34="")+--(data!BI34="")+--(data!BK34="")+--(data!BM34="")+--(data!J34="")+--(data!K34="")+--(data!L34=""))</f>
        <v/>
      </c>
    </row>
    <row r="35">
      <c r="A35">
        <f>IF(data!A35="","",data!A35)</f>
        <v/>
      </c>
      <c r="B35">
        <f>IF(data!B35="","",data!B35)</f>
        <v/>
      </c>
      <c r="C35">
        <f>IF(data!D35="","",data!D35)</f>
        <v/>
      </c>
      <c r="D35">
        <f>IF(data!A35="","",COUNT(data!O35:AD35))</f>
        <v/>
      </c>
      <c r="E35">
        <f>IF(data!A35="","",COUNT(data!AP35:BE35))</f>
        <v/>
      </c>
      <c r="F35">
        <f>IF(data!A35="","",IF(COUNT(data!O35:AD35)=16,SUM(data!O35:AD35),""))</f>
        <v/>
      </c>
      <c r="G35">
        <f>IF(data!A35="","",IF(COUNT(data!AP35:BE35)=16,SUM(data!AP35:BE35),""))</f>
        <v/>
      </c>
      <c r="H35">
        <f>IF(COUNT(data!AH35,data!AI35)=0,"",MAX(data!AH35,data!AI35))</f>
        <v/>
      </c>
      <c r="I35">
        <f>IF(COUNT(data!BI35,data!BJ35)=0,"",MAX(data!BI35,data!BJ35))</f>
        <v/>
      </c>
      <c r="J35">
        <f>IF(COUNT(data!AJ35,data!AK35)=0,"",MAX(data!AJ35,data!AK35))</f>
        <v/>
      </c>
      <c r="K35">
        <f>IF(COUNT(data!BK35,data!BL35)=0,"",MAX(data!BK35,data!BL35))</f>
        <v/>
      </c>
      <c r="L35">
        <f>IF(COUNT(data!AL35,data!AM35)=0,"",MIN(data!AL35,data!AM35))</f>
        <v/>
      </c>
      <c r="M35">
        <f>IF(COUNT(data!BM35,data!BN35)=0,"",MIN(data!BM35,data!BN35))</f>
        <v/>
      </c>
      <c r="N35">
        <f>IF(data!A35="","",IF(OR(F35="",G35=""),0,--(F35=G35))+IF(OR(data!AE35="",data!BF35=""),0,--(data!AE35=data!BF35))+IF(OR(data!AF35="",data!BG35=""),0,--(data!AF35=data!BG35))+IF(OR(data!AG35="",data!BH35=""),0,--(data!AG35=data!BH35))+IF(OR(H35="",I35=""),0,--(H35=I35))+IF(OR(J35="",K35=""),0,--(J35=K35))+IF(OR(L35="",M35=""),0,--(L35=M35)))</f>
        <v/>
      </c>
      <c r="O35">
        <f>IF(data!D35&lt;&gt;1,"",--(data!O35="")+--(data!P35="")+--(data!Q35="")+--(data!R35="")+--(data!S35="")+--(data!T35="")+--(data!U35="")+--(data!V35="")+--(data!W35="")+--(data!X35="")+--(data!Y35="")+--(data!Z35="")+--(data!AA35="")+--(data!AB35="")+--(data!AC35="")+--(data!AD35="")+--(data!AE35="")+--(data!AF35="")+--(data!AG35="")+--(data!AH35="")+--(data!AJ35="")+--(data!AL35="")+--(data!AP35="")+--(data!AQ35="")+--(data!AR35="")+--(data!AS35="")+--(data!AT35="")+--(data!AU35="")+--(data!AV35="")+--(data!AW35="")+--(data!AX35="")+--(data!AY35="")+--(data!AZ35="")+--(data!BA35="")+--(data!BB35="")+--(data!BC35="")+--(data!BD35="")+--(data!BE35="")+--(data!BF35="")+--(data!BG35="")+--(data!BH35="")+--(data!BI35="")+--(data!BK35="")+--(data!BM35="")+--(data!J35="")+--(data!K35="")+--(data!L35=""))</f>
        <v/>
      </c>
    </row>
    <row r="36">
      <c r="A36">
        <f>IF(data!A36="","",data!A36)</f>
        <v/>
      </c>
      <c r="B36">
        <f>IF(data!B36="","",data!B36)</f>
        <v/>
      </c>
      <c r="C36">
        <f>IF(data!D36="","",data!D36)</f>
        <v/>
      </c>
      <c r="D36">
        <f>IF(data!A36="","",COUNT(data!O36:AD36))</f>
        <v/>
      </c>
      <c r="E36">
        <f>IF(data!A36="","",COUNT(data!AP36:BE36))</f>
        <v/>
      </c>
      <c r="F36">
        <f>IF(data!A36="","",IF(COUNT(data!O36:AD36)=16,SUM(data!O36:AD36),""))</f>
        <v/>
      </c>
      <c r="G36">
        <f>IF(data!A36="","",IF(COUNT(data!AP36:BE36)=16,SUM(data!AP36:BE36),""))</f>
        <v/>
      </c>
      <c r="H36">
        <f>IF(COUNT(data!AH36,data!AI36)=0,"",MAX(data!AH36,data!AI36))</f>
        <v/>
      </c>
      <c r="I36">
        <f>IF(COUNT(data!BI36,data!BJ36)=0,"",MAX(data!BI36,data!BJ36))</f>
        <v/>
      </c>
      <c r="J36">
        <f>IF(COUNT(data!AJ36,data!AK36)=0,"",MAX(data!AJ36,data!AK36))</f>
        <v/>
      </c>
      <c r="K36">
        <f>IF(COUNT(data!BK36,data!BL36)=0,"",MAX(data!BK36,data!BL36))</f>
        <v/>
      </c>
      <c r="L36">
        <f>IF(COUNT(data!AL36,data!AM36)=0,"",MIN(data!AL36,data!AM36))</f>
        <v/>
      </c>
      <c r="M36">
        <f>IF(COUNT(data!BM36,data!BN36)=0,"",MIN(data!BM36,data!BN36))</f>
        <v/>
      </c>
      <c r="N36">
        <f>IF(data!A36="","",IF(OR(F36="",G36=""),0,--(F36=G36))+IF(OR(data!AE36="",data!BF36=""),0,--(data!AE36=data!BF36))+IF(OR(data!AF36="",data!BG36=""),0,--(data!AF36=data!BG36))+IF(OR(data!AG36="",data!BH36=""),0,--(data!AG36=data!BH36))+IF(OR(H36="",I36=""),0,--(H36=I36))+IF(OR(J36="",K36=""),0,--(J36=K36))+IF(OR(L36="",M36=""),0,--(L36=M36)))</f>
        <v/>
      </c>
      <c r="O36">
        <f>IF(data!D36&lt;&gt;1,"",--(data!O36="")+--(data!P36="")+--(data!Q36="")+--(data!R36="")+--(data!S36="")+--(data!T36="")+--(data!U36="")+--(data!V36="")+--(data!W36="")+--(data!X36="")+--(data!Y36="")+--(data!Z36="")+--(data!AA36="")+--(data!AB36="")+--(data!AC36="")+--(data!AD36="")+--(data!AE36="")+--(data!AF36="")+--(data!AG36="")+--(data!AH36="")+--(data!AJ36="")+--(data!AL36="")+--(data!AP36="")+--(data!AQ36="")+--(data!AR36="")+--(data!AS36="")+--(data!AT36="")+--(data!AU36="")+--(data!AV36="")+--(data!AW36="")+--(data!AX36="")+--(data!AY36="")+--(data!AZ36="")+--(data!BA36="")+--(data!BB36="")+--(data!BC36="")+--(data!BD36="")+--(data!BE36="")+--(data!BF36="")+--(data!BG36="")+--(data!BH36="")+--(data!BI36="")+--(data!BK36="")+--(data!BM36="")+--(data!J36="")+--(data!K36="")+--(data!L36=""))</f>
        <v/>
      </c>
    </row>
    <row r="37">
      <c r="A37">
        <f>IF(data!A37="","",data!A37)</f>
        <v/>
      </c>
      <c r="B37">
        <f>IF(data!B37="","",data!B37)</f>
        <v/>
      </c>
      <c r="C37">
        <f>IF(data!D37="","",data!D37)</f>
        <v/>
      </c>
      <c r="D37">
        <f>IF(data!A37="","",COUNT(data!O37:AD37))</f>
        <v/>
      </c>
      <c r="E37">
        <f>IF(data!A37="","",COUNT(data!AP37:BE37))</f>
        <v/>
      </c>
      <c r="F37">
        <f>IF(data!A37="","",IF(COUNT(data!O37:AD37)=16,SUM(data!O37:AD37),""))</f>
        <v/>
      </c>
      <c r="G37">
        <f>IF(data!A37="","",IF(COUNT(data!AP37:BE37)=16,SUM(data!AP37:BE37),""))</f>
        <v/>
      </c>
      <c r="H37">
        <f>IF(COUNT(data!AH37,data!AI37)=0,"",MAX(data!AH37,data!AI37))</f>
        <v/>
      </c>
      <c r="I37">
        <f>IF(COUNT(data!BI37,data!BJ37)=0,"",MAX(data!BI37,data!BJ37))</f>
        <v/>
      </c>
      <c r="J37">
        <f>IF(COUNT(data!AJ37,data!AK37)=0,"",MAX(data!AJ37,data!AK37))</f>
        <v/>
      </c>
      <c r="K37">
        <f>IF(COUNT(data!BK37,data!BL37)=0,"",MAX(data!BK37,data!BL37))</f>
        <v/>
      </c>
      <c r="L37">
        <f>IF(COUNT(data!AL37,data!AM37)=0,"",MIN(data!AL37,data!AM37))</f>
        <v/>
      </c>
      <c r="M37">
        <f>IF(COUNT(data!BM37,data!BN37)=0,"",MIN(data!BM37,data!BN37))</f>
        <v/>
      </c>
      <c r="N37">
        <f>IF(data!A37="","",IF(OR(F37="",G37=""),0,--(F37=G37))+IF(OR(data!AE37="",data!BF37=""),0,--(data!AE37=data!BF37))+IF(OR(data!AF37="",data!BG37=""),0,--(data!AF37=data!BG37))+IF(OR(data!AG37="",data!BH37=""),0,--(data!AG37=data!BH37))+IF(OR(H37="",I37=""),0,--(H37=I37))+IF(OR(J37="",K37=""),0,--(J37=K37))+IF(OR(L37="",M37=""),0,--(L37=M37)))</f>
        <v/>
      </c>
      <c r="O37">
        <f>IF(data!D37&lt;&gt;1,"",--(data!O37="")+--(data!P37="")+--(data!Q37="")+--(data!R37="")+--(data!S37="")+--(data!T37="")+--(data!U37="")+--(data!V37="")+--(data!W37="")+--(data!X37="")+--(data!Y37="")+--(data!Z37="")+--(data!AA37="")+--(data!AB37="")+--(data!AC37="")+--(data!AD37="")+--(data!AE37="")+--(data!AF37="")+--(data!AG37="")+--(data!AH37="")+--(data!AJ37="")+--(data!AL37="")+--(data!AP37="")+--(data!AQ37="")+--(data!AR37="")+--(data!AS37="")+--(data!AT37="")+--(data!AU37="")+--(data!AV37="")+--(data!AW37="")+--(data!AX37="")+--(data!AY37="")+--(data!AZ37="")+--(data!BA37="")+--(data!BB37="")+--(data!BC37="")+--(data!BD37="")+--(data!BE37="")+--(data!BF37="")+--(data!BG37="")+--(data!BH37="")+--(data!BI37="")+--(data!BK37="")+--(data!BM37="")+--(data!J37="")+--(data!K37="")+--(data!L37=""))</f>
        <v/>
      </c>
    </row>
    <row r="38">
      <c r="A38">
        <f>IF(data!A38="","",data!A38)</f>
        <v/>
      </c>
      <c r="B38">
        <f>IF(data!B38="","",data!B38)</f>
        <v/>
      </c>
      <c r="C38">
        <f>IF(data!D38="","",data!D38)</f>
        <v/>
      </c>
      <c r="D38">
        <f>IF(data!A38="","",COUNT(data!O38:AD38))</f>
        <v/>
      </c>
      <c r="E38">
        <f>IF(data!A38="","",COUNT(data!AP38:BE38))</f>
        <v/>
      </c>
      <c r="F38">
        <f>IF(data!A38="","",IF(COUNT(data!O38:AD38)=16,SUM(data!O38:AD38),""))</f>
        <v/>
      </c>
      <c r="G38">
        <f>IF(data!A38="","",IF(COUNT(data!AP38:BE38)=16,SUM(data!AP38:BE38),""))</f>
        <v/>
      </c>
      <c r="H38">
        <f>IF(COUNT(data!AH38,data!AI38)=0,"",MAX(data!AH38,data!AI38))</f>
        <v/>
      </c>
      <c r="I38">
        <f>IF(COUNT(data!BI38,data!BJ38)=0,"",MAX(data!BI38,data!BJ38))</f>
        <v/>
      </c>
      <c r="J38">
        <f>IF(COUNT(data!AJ38,data!AK38)=0,"",MAX(data!AJ38,data!AK38))</f>
        <v/>
      </c>
      <c r="K38">
        <f>IF(COUNT(data!BK38,data!BL38)=0,"",MAX(data!BK38,data!BL38))</f>
        <v/>
      </c>
      <c r="L38">
        <f>IF(COUNT(data!AL38,data!AM38)=0,"",MIN(data!AL38,data!AM38))</f>
        <v/>
      </c>
      <c r="M38">
        <f>IF(COUNT(data!BM38,data!BN38)=0,"",MIN(data!BM38,data!BN38))</f>
        <v/>
      </c>
      <c r="N38">
        <f>IF(data!A38="","",IF(OR(F38="",G38=""),0,--(F38=G38))+IF(OR(data!AE38="",data!BF38=""),0,--(data!AE38=data!BF38))+IF(OR(data!AF38="",data!BG38=""),0,--(data!AF38=data!BG38))+IF(OR(data!AG38="",data!BH38=""),0,--(data!AG38=data!BH38))+IF(OR(H38="",I38=""),0,--(H38=I38))+IF(OR(J38="",K38=""),0,--(J38=K38))+IF(OR(L38="",M38=""),0,--(L38=M38)))</f>
        <v/>
      </c>
      <c r="O38">
        <f>IF(data!D38&lt;&gt;1,"",--(data!O38="")+--(data!P38="")+--(data!Q38="")+--(data!R38="")+--(data!S38="")+--(data!T38="")+--(data!U38="")+--(data!V38="")+--(data!W38="")+--(data!X38="")+--(data!Y38="")+--(data!Z38="")+--(data!AA38="")+--(data!AB38="")+--(data!AC38="")+--(data!AD38="")+--(data!AE38="")+--(data!AF38="")+--(data!AG38="")+--(data!AH38="")+--(data!AJ38="")+--(data!AL38="")+--(data!AP38="")+--(data!AQ38="")+--(data!AR38="")+--(data!AS38="")+--(data!AT38="")+--(data!AU38="")+--(data!AV38="")+--(data!AW38="")+--(data!AX38="")+--(data!AY38="")+--(data!AZ38="")+--(data!BA38="")+--(data!BB38="")+--(data!BC38="")+--(data!BD38="")+--(data!BE38="")+--(data!BF38="")+--(data!BG38="")+--(data!BH38="")+--(data!BI38="")+--(data!BK38="")+--(data!BM38="")+--(data!J38="")+--(data!K38="")+--(data!L38=""))</f>
        <v/>
      </c>
    </row>
    <row r="39">
      <c r="A39">
        <f>IF(data!A39="","",data!A39)</f>
        <v/>
      </c>
      <c r="B39">
        <f>IF(data!B39="","",data!B39)</f>
        <v/>
      </c>
      <c r="C39">
        <f>IF(data!D39="","",data!D39)</f>
        <v/>
      </c>
      <c r="D39">
        <f>IF(data!A39="","",COUNT(data!O39:AD39))</f>
        <v/>
      </c>
      <c r="E39">
        <f>IF(data!A39="","",COUNT(data!AP39:BE39))</f>
        <v/>
      </c>
      <c r="F39">
        <f>IF(data!A39="","",IF(COUNT(data!O39:AD39)=16,SUM(data!O39:AD39),""))</f>
        <v/>
      </c>
      <c r="G39">
        <f>IF(data!A39="","",IF(COUNT(data!AP39:BE39)=16,SUM(data!AP39:BE39),""))</f>
        <v/>
      </c>
      <c r="H39">
        <f>IF(COUNT(data!AH39,data!AI39)=0,"",MAX(data!AH39,data!AI39))</f>
        <v/>
      </c>
      <c r="I39">
        <f>IF(COUNT(data!BI39,data!BJ39)=0,"",MAX(data!BI39,data!BJ39))</f>
        <v/>
      </c>
      <c r="J39">
        <f>IF(COUNT(data!AJ39,data!AK39)=0,"",MAX(data!AJ39,data!AK39))</f>
        <v/>
      </c>
      <c r="K39">
        <f>IF(COUNT(data!BK39,data!BL39)=0,"",MAX(data!BK39,data!BL39))</f>
        <v/>
      </c>
      <c r="L39">
        <f>IF(COUNT(data!AL39,data!AM39)=0,"",MIN(data!AL39,data!AM39))</f>
        <v/>
      </c>
      <c r="M39">
        <f>IF(COUNT(data!BM39,data!BN39)=0,"",MIN(data!BM39,data!BN39))</f>
        <v/>
      </c>
      <c r="N39">
        <f>IF(data!A39="","",IF(OR(F39="",G39=""),0,--(F39=G39))+IF(OR(data!AE39="",data!BF39=""),0,--(data!AE39=data!BF39))+IF(OR(data!AF39="",data!BG39=""),0,--(data!AF39=data!BG39))+IF(OR(data!AG39="",data!BH39=""),0,--(data!AG39=data!BH39))+IF(OR(H39="",I39=""),0,--(H39=I39))+IF(OR(J39="",K39=""),0,--(J39=K39))+IF(OR(L39="",M39=""),0,--(L39=M39)))</f>
        <v/>
      </c>
      <c r="O39">
        <f>IF(data!D39&lt;&gt;1,"",--(data!O39="")+--(data!P39="")+--(data!Q39="")+--(data!R39="")+--(data!S39="")+--(data!T39="")+--(data!U39="")+--(data!V39="")+--(data!W39="")+--(data!X39="")+--(data!Y39="")+--(data!Z39="")+--(data!AA39="")+--(data!AB39="")+--(data!AC39="")+--(data!AD39="")+--(data!AE39="")+--(data!AF39="")+--(data!AG39="")+--(data!AH39="")+--(data!AJ39="")+--(data!AL39="")+--(data!AP39="")+--(data!AQ39="")+--(data!AR39="")+--(data!AS39="")+--(data!AT39="")+--(data!AU39="")+--(data!AV39="")+--(data!AW39="")+--(data!AX39="")+--(data!AY39="")+--(data!AZ39="")+--(data!BA39="")+--(data!BB39="")+--(data!BC39="")+--(data!BD39="")+--(data!BE39="")+--(data!BF39="")+--(data!BG39="")+--(data!BH39="")+--(data!BI39="")+--(data!BK39="")+--(data!BM39="")+--(data!J39="")+--(data!K39="")+--(data!L39=""))</f>
        <v/>
      </c>
    </row>
    <row r="40">
      <c r="A40">
        <f>IF(data!A40="","",data!A40)</f>
        <v/>
      </c>
      <c r="B40">
        <f>IF(data!B40="","",data!B40)</f>
        <v/>
      </c>
      <c r="C40">
        <f>IF(data!D40="","",data!D40)</f>
        <v/>
      </c>
      <c r="D40">
        <f>IF(data!A40="","",COUNT(data!O40:AD40))</f>
        <v/>
      </c>
      <c r="E40">
        <f>IF(data!A40="","",COUNT(data!AP40:BE40))</f>
        <v/>
      </c>
      <c r="F40">
        <f>IF(data!A40="","",IF(COUNT(data!O40:AD40)=16,SUM(data!O40:AD40),""))</f>
        <v/>
      </c>
      <c r="G40">
        <f>IF(data!A40="","",IF(COUNT(data!AP40:BE40)=16,SUM(data!AP40:BE40),""))</f>
        <v/>
      </c>
      <c r="H40">
        <f>IF(COUNT(data!AH40,data!AI40)=0,"",MAX(data!AH40,data!AI40))</f>
        <v/>
      </c>
      <c r="I40">
        <f>IF(COUNT(data!BI40,data!BJ40)=0,"",MAX(data!BI40,data!BJ40))</f>
        <v/>
      </c>
      <c r="J40">
        <f>IF(COUNT(data!AJ40,data!AK40)=0,"",MAX(data!AJ40,data!AK40))</f>
        <v/>
      </c>
      <c r="K40">
        <f>IF(COUNT(data!BK40,data!BL40)=0,"",MAX(data!BK40,data!BL40))</f>
        <v/>
      </c>
      <c r="L40">
        <f>IF(COUNT(data!AL40,data!AM40)=0,"",MIN(data!AL40,data!AM40))</f>
        <v/>
      </c>
      <c r="M40">
        <f>IF(COUNT(data!BM40,data!BN40)=0,"",MIN(data!BM40,data!BN40))</f>
        <v/>
      </c>
      <c r="N40">
        <f>IF(data!A40="","",IF(OR(F40="",G40=""),0,--(F40=G40))+IF(OR(data!AE40="",data!BF40=""),0,--(data!AE40=data!BF40))+IF(OR(data!AF40="",data!BG40=""),0,--(data!AF40=data!BG40))+IF(OR(data!AG40="",data!BH40=""),0,--(data!AG40=data!BH40))+IF(OR(H40="",I40=""),0,--(H40=I40))+IF(OR(J40="",K40=""),0,--(J40=K40))+IF(OR(L40="",M40=""),0,--(L40=M40)))</f>
        <v/>
      </c>
      <c r="O40">
        <f>IF(data!D40&lt;&gt;1,"",--(data!O40="")+--(data!P40="")+--(data!Q40="")+--(data!R40="")+--(data!S40="")+--(data!T40="")+--(data!U40="")+--(data!V40="")+--(data!W40="")+--(data!X40="")+--(data!Y40="")+--(data!Z40="")+--(data!AA40="")+--(data!AB40="")+--(data!AC40="")+--(data!AD40="")+--(data!AE40="")+--(data!AF40="")+--(data!AG40="")+--(data!AH40="")+--(data!AJ40="")+--(data!AL40="")+--(data!AP40="")+--(data!AQ40="")+--(data!AR40="")+--(data!AS40="")+--(data!AT40="")+--(data!AU40="")+--(data!AV40="")+--(data!AW40="")+--(data!AX40="")+--(data!AY40="")+--(data!AZ40="")+--(data!BA40="")+--(data!BB40="")+--(data!BC40="")+--(data!BD40="")+--(data!BE40="")+--(data!BF40="")+--(data!BG40="")+--(data!BH40="")+--(data!BI40="")+--(data!BK40="")+--(data!BM40="")+--(data!J40="")+--(data!K40="")+--(data!L40=""))</f>
        <v/>
      </c>
    </row>
    <row r="41">
      <c r="A41">
        <f>IF(data!A41="","",data!A41)</f>
        <v/>
      </c>
      <c r="B41">
        <f>IF(data!B41="","",data!B41)</f>
        <v/>
      </c>
      <c r="C41">
        <f>IF(data!D41="","",data!D41)</f>
        <v/>
      </c>
      <c r="D41">
        <f>IF(data!A41="","",COUNT(data!O41:AD41))</f>
        <v/>
      </c>
      <c r="E41">
        <f>IF(data!A41="","",COUNT(data!AP41:BE41))</f>
        <v/>
      </c>
      <c r="F41">
        <f>IF(data!A41="","",IF(COUNT(data!O41:AD41)=16,SUM(data!O41:AD41),""))</f>
        <v/>
      </c>
      <c r="G41">
        <f>IF(data!A41="","",IF(COUNT(data!AP41:BE41)=16,SUM(data!AP41:BE41),""))</f>
        <v/>
      </c>
      <c r="H41">
        <f>IF(COUNT(data!AH41,data!AI41)=0,"",MAX(data!AH41,data!AI41))</f>
        <v/>
      </c>
      <c r="I41">
        <f>IF(COUNT(data!BI41,data!BJ41)=0,"",MAX(data!BI41,data!BJ41))</f>
        <v/>
      </c>
      <c r="J41">
        <f>IF(COUNT(data!AJ41,data!AK41)=0,"",MAX(data!AJ41,data!AK41))</f>
        <v/>
      </c>
      <c r="K41">
        <f>IF(COUNT(data!BK41,data!BL41)=0,"",MAX(data!BK41,data!BL41))</f>
        <v/>
      </c>
      <c r="L41">
        <f>IF(COUNT(data!AL41,data!AM41)=0,"",MIN(data!AL41,data!AM41))</f>
        <v/>
      </c>
      <c r="M41">
        <f>IF(COUNT(data!BM41,data!BN41)=0,"",MIN(data!BM41,data!BN41))</f>
        <v/>
      </c>
      <c r="N41">
        <f>IF(data!A41="","",IF(OR(F41="",G41=""),0,--(F41=G41))+IF(OR(data!AE41="",data!BF41=""),0,--(data!AE41=data!BF41))+IF(OR(data!AF41="",data!BG41=""),0,--(data!AF41=data!BG41))+IF(OR(data!AG41="",data!BH41=""),0,--(data!AG41=data!BH41))+IF(OR(H41="",I41=""),0,--(H41=I41))+IF(OR(J41="",K41=""),0,--(J41=K41))+IF(OR(L41="",M41=""),0,--(L41=M41)))</f>
        <v/>
      </c>
      <c r="O41">
        <f>IF(data!D41&lt;&gt;1,"",--(data!O41="")+--(data!P41="")+--(data!Q41="")+--(data!R41="")+--(data!S41="")+--(data!T41="")+--(data!U41="")+--(data!V41="")+--(data!W41="")+--(data!X41="")+--(data!Y41="")+--(data!Z41="")+--(data!AA41="")+--(data!AB41="")+--(data!AC41="")+--(data!AD41="")+--(data!AE41="")+--(data!AF41="")+--(data!AG41="")+--(data!AH41="")+--(data!AJ41="")+--(data!AL41="")+--(data!AP41="")+--(data!AQ41="")+--(data!AR41="")+--(data!AS41="")+--(data!AT41="")+--(data!AU41="")+--(data!AV41="")+--(data!AW41="")+--(data!AX41="")+--(data!AY41="")+--(data!AZ41="")+--(data!BA41="")+--(data!BB41="")+--(data!BC41="")+--(data!BD41="")+--(data!BE41="")+--(data!BF41="")+--(data!BG41="")+--(data!BH41="")+--(data!BI41="")+--(data!BK41="")+--(data!BM41="")+--(data!J41="")+--(data!K41="")+--(data!L41=""))</f>
        <v/>
      </c>
    </row>
  </sheetData>
  <conditionalFormatting sqref="D2:E41">
    <cfRule type="cellIs" priority="1" operator="between" dxfId="0">
      <formula>1</formula>
      <formula>15</formula>
    </cfRule>
  </conditionalFormatting>
  <conditionalFormatting sqref="N2:N41">
    <cfRule type="cellIs" priority="2" operator="greaterThanOrEqual" dxfId="0">
      <formula>4</formula>
    </cfRule>
  </conditionalFormatting>
  <conditionalFormatting sqref="O2:O41">
    <cfRule type="cellIs" priority="3" operator="greaterThan" dxfId="0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7" t="inlineStr">
        <is>
          <t>입력 순서</t>
        </is>
      </c>
    </row>
    <row r="2">
      <c r="A2" s="18" t="inlineStr">
        <is>
          <t>1. 'data' 시트에만 입력합니다. 1행의 변수명은 SPSS가 그대로 읽으므로 바꾸거나 행을 끼워 넣지 마세요.</t>
        </is>
      </c>
    </row>
    <row r="3">
      <c r="A3" s="18" t="inlineStr">
        <is>
          <t>2. 한 사람이 한 행입니다. 최초 참여자 30명 전원(제외자 포함)을 기록지 번호 순서로 입력합니다.</t>
        </is>
      </c>
    </row>
    <row r="4">
      <c r="A4" s="18" t="inlineStr">
        <is>
          <t>3. 사전 기록지를 보고 노란·파란 칸(기본, 사전)을 먼저 채우고, 사후 기록지를 보고 초록 칸(사후)을 채웁니다.</t>
        </is>
      </c>
    </row>
    <row r="5">
      <c r="A5" s="18" t="inlineStr">
        <is>
          <t>4. 기록지에 없는 값은 비워 둡니다. 0이나 다른 시점 값을 넣지 않습니다(빈칸은 SPSS에서 결측).</t>
        </is>
      </c>
    </row>
    <row r="6">
      <c r="A6" s="18" t="inlineStr">
        <is>
          <t>5. 기록지에 적힌 숫자를 그대로 입력합니다. 반올림하거나 단위를 바꾸지 않습니다. 2.44 m가 정수 초로 적혀 있으면 정수로 입력합니다.</t>
        </is>
      </c>
    </row>
    <row r="7">
      <c r="A7" s="18" t="inlineStr">
        <is>
          <t>6. 유연성과 2.44 m는 기록지에 2회가 있으면 1회·2회 칸에 각각, 최종값 1개만 있으면 1회 칸에만 입력합니다. 최고값은 분석 때 계산됩니다.</t>
        </is>
      </c>
    </row>
    <row r="8">
      <c r="A8" s="18" t="inlineStr">
        <is>
          <t>7. KFES-I는 16문항을 각각 입력합니다. 총점은 분석 때 계산되며, 원래 기록지 총점과 다르면 비고에 적습니다.</t>
        </is>
      </c>
    </row>
    <row r="9">
      <c r="A9" s="18" t="inlineStr">
        <is>
          <t>8. 제외자는 incl=0, 제외 사유·상세·시점을 입력합니다. 통제집단 제외자도 실제 사유를 적습니다.</t>
        </is>
      </c>
    </row>
    <row r="10">
      <c r="A10" s="18" t="inlineStr">
        <is>
          <t>9. 각 칸에 마우스를 올리면 설명이 나옵니다. 범위 밖 값이나 정해진 코드가 아니면 입력이 막힙니다.</t>
        </is>
      </c>
    </row>
    <row r="11">
      <c r="A11" s="17" t="inlineStr">
        <is>
          <t>입력 확인</t>
        </is>
      </c>
    </row>
    <row r="12">
      <c r="A12" s="18" t="inlineStr">
        <is>
          <t>'입력점검' 시트에서 빨간 칸을 확인합니다: KFES 문항이 1~15개만 입력된 행, 사전=사후 같은 항목이 4개 이상인 행, 포함 대상인데 빈칸이 있는 행.</t>
        </is>
      </c>
    </row>
    <row r="13">
      <c r="A13" s="18" t="inlineStr">
        <is>
          <t>가능하면 다른 사람이 같은 양식에 한 번 더 입력하고 두 파일을 비교합니다(이중 입력). 심사자가 원자료 확인을 요구했으므로 입력 파일과 기록지는 함께 보관합니다.</t>
        </is>
      </c>
    </row>
    <row r="14">
      <c r="A14" s="17" t="inlineStr">
        <is>
          <t>SPSS로 불러오기</t>
        </is>
      </c>
    </row>
    <row r="15">
      <c r="A15" s="18" t="inlineStr">
        <is>
          <t>루프밴드_분석.sps를 SPSS 구문 창에서 열고, 맨 위 FILE= 경로를 이 파일 위치로 바꾼 뒤 전체 실행합니다. 라벨, 계산 변수, 입력 점검, 원고 표 분석이 차례로 실행됩니다.</t>
        </is>
      </c>
    </row>
    <row r="16">
      <c r="A16" s="18" t="inlineStr">
        <is>
          <t>SPSS에 직접 입력하고 싶다면 원자료_SPSS_빈파일.sav를 열어 데이터 보기에서 입력하고, 구문의 GET DATA 대신 GET FILE 줄을 사용합니다.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2026-10-29T09:48:26Z</dcterms:created>
  <dcterms:modified xmlns:dcterms="http://purl.org/dc/terms/" xmlns:xsi="http://www.w3.org/2001/XMLSchema-instance" xsi:type="dcterms:W3CDTF">2026-10-29T09:48:27Z</dcterms:modified>
</cp:coreProperties>
</file>