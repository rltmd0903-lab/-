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" sheetId="1" state="visible" r:id="rId1"/>
    <sheet xmlns:r="http://schemas.openxmlformats.org/officeDocument/2006/relationships" name="표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7">
    <font>
      <name val="Calibri"/>
      <family val="2"/>
      <color theme="1"/>
      <sz val="11"/>
      <scheme val="minor"/>
    </font>
    <font>
      <name val="맑은 고딕"/>
      <color rgb="00595959"/>
      <sz val="9"/>
    </font>
    <font>
      <name val="맑은 고딕"/>
      <b val="1"/>
      <color rgb="00FFFFFF"/>
      <sz val="9"/>
    </font>
    <font>
      <name val="맑은 고딕"/>
      <i val="1"/>
      <color rgb="007F7F7F"/>
      <sz val="10"/>
    </font>
    <font>
      <name val="맑은 고딕"/>
      <color rgb="000000FF"/>
      <sz val="10"/>
    </font>
    <font>
      <name val="맑은 고딕"/>
      <b val="1"/>
      <sz val="12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49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1" customWidth="1" min="8" max="8"/>
    <col width="9" customWidth="1" min="9" max="9"/>
  </cols>
  <sheetData>
    <row r="1" ht="32" customHeight="1">
      <c r="A1" s="1" t="inlineStr">
        <is>
          <t>노란 칸에 대상자별 값을 입력하세요. 성별: 1=남, 2=여. 모르는 값은 빈칸. 사전 VO2max와 FMS 총점은 사전사후 입력 시트의 사전값과 같은 값을 넣으면 됩니다. 결과는 '표1' 시트에 원고 표 1 형식으로 계산됩니다.</t>
        </is>
      </c>
    </row>
    <row r="2" ht="26" customHeight="1">
      <c r="A2" s="2" t="inlineStr">
        <is>
          <t>ID</t>
        </is>
      </c>
      <c r="B2" s="2" t="inlineStr">
        <is>
          <t>집단
1=실험
2=통제</t>
        </is>
      </c>
      <c r="C2" s="2" t="inlineStr">
        <is>
          <t>성별
1=남
2=여</t>
        </is>
      </c>
      <c r="D2" s="2" t="inlineStr">
        <is>
          <t>연령
(세)</t>
        </is>
      </c>
      <c r="E2" s="2" t="inlineStr">
        <is>
          <t>신장
(cm)</t>
        </is>
      </c>
      <c r="F2" s="2" t="inlineStr">
        <is>
          <t>체중
(kg)</t>
        </is>
      </c>
      <c r="G2" s="2" t="inlineStr">
        <is>
          <t>선수 경력
(년)</t>
        </is>
      </c>
      <c r="H2" s="2" t="inlineStr">
        <is>
          <t>사전 VO2max
(mL/kg/min)</t>
        </is>
      </c>
      <c r="I2" s="2" t="inlineStr">
        <is>
          <t>사전 FMS
총점 (점)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4" t="inlineStr">
        <is>
          <t>예시</t>
        </is>
      </c>
      <c r="B4" s="4" t="inlineStr">
        <is>
          <t>(예시)</t>
        </is>
      </c>
      <c r="C4" s="4" t="n">
        <v>1</v>
      </c>
      <c r="D4" s="5" t="n">
        <v>21</v>
      </c>
      <c r="E4" s="6" t="n">
        <v>175.2</v>
      </c>
      <c r="F4" s="6" t="n">
        <v>68.40000000000001</v>
      </c>
      <c r="G4" s="6" t="n">
        <v>9.5</v>
      </c>
      <c r="H4" s="7" t="n">
        <v>47.85</v>
      </c>
      <c r="I4" s="5" t="n">
        <v>14</v>
      </c>
    </row>
    <row r="5">
      <c r="A5" s="8" t="inlineStr">
        <is>
          <t>E01</t>
        </is>
      </c>
      <c r="B5" s="8" t="n">
        <v>1</v>
      </c>
      <c r="C5" s="8" t="n"/>
      <c r="D5" s="9" t="n"/>
      <c r="E5" s="10" t="n"/>
      <c r="F5" s="10" t="n"/>
      <c r="G5" s="10" t="n"/>
      <c r="H5" s="11" t="n"/>
      <c r="I5" s="9" t="n"/>
    </row>
    <row r="6">
      <c r="A6" s="8" t="inlineStr">
        <is>
          <t>E02</t>
        </is>
      </c>
      <c r="B6" s="8" t="n">
        <v>1</v>
      </c>
      <c r="C6" s="8" t="n"/>
      <c r="D6" s="9" t="n"/>
      <c r="E6" s="10" t="n"/>
      <c r="F6" s="10" t="n"/>
      <c r="G6" s="10" t="n"/>
      <c r="H6" s="11" t="n"/>
      <c r="I6" s="9" t="n"/>
    </row>
    <row r="7">
      <c r="A7" s="8" t="inlineStr">
        <is>
          <t>E03</t>
        </is>
      </c>
      <c r="B7" s="8" t="n">
        <v>1</v>
      </c>
      <c r="C7" s="8" t="n"/>
      <c r="D7" s="9" t="n"/>
      <c r="E7" s="10" t="n"/>
      <c r="F7" s="10" t="n"/>
      <c r="G7" s="10" t="n"/>
      <c r="H7" s="11" t="n"/>
      <c r="I7" s="9" t="n"/>
    </row>
    <row r="8">
      <c r="A8" s="8" t="inlineStr">
        <is>
          <t>E04</t>
        </is>
      </c>
      <c r="B8" s="8" t="n">
        <v>1</v>
      </c>
      <c r="C8" s="8" t="n"/>
      <c r="D8" s="9" t="n"/>
      <c r="E8" s="10" t="n"/>
      <c r="F8" s="10" t="n"/>
      <c r="G8" s="10" t="n"/>
      <c r="H8" s="11" t="n"/>
      <c r="I8" s="9" t="n"/>
    </row>
    <row r="9">
      <c r="A9" s="8" t="inlineStr">
        <is>
          <t>E05</t>
        </is>
      </c>
      <c r="B9" s="8" t="n">
        <v>1</v>
      </c>
      <c r="C9" s="8" t="n"/>
      <c r="D9" s="9" t="n"/>
      <c r="E9" s="10" t="n"/>
      <c r="F9" s="10" t="n"/>
      <c r="G9" s="10" t="n"/>
      <c r="H9" s="11" t="n"/>
      <c r="I9" s="9" t="n"/>
    </row>
    <row r="10">
      <c r="A10" s="8" t="inlineStr">
        <is>
          <t>E06</t>
        </is>
      </c>
      <c r="B10" s="8" t="n">
        <v>1</v>
      </c>
      <c r="C10" s="8" t="n"/>
      <c r="D10" s="9" t="n"/>
      <c r="E10" s="10" t="n"/>
      <c r="F10" s="10" t="n"/>
      <c r="G10" s="10" t="n"/>
      <c r="H10" s="11" t="n"/>
      <c r="I10" s="9" t="n"/>
    </row>
    <row r="11">
      <c r="A11" s="8" t="inlineStr">
        <is>
          <t>E07</t>
        </is>
      </c>
      <c r="B11" s="8" t="n">
        <v>1</v>
      </c>
      <c r="C11" s="8" t="n"/>
      <c r="D11" s="9" t="n"/>
      <c r="E11" s="10" t="n"/>
      <c r="F11" s="10" t="n"/>
      <c r="G11" s="10" t="n"/>
      <c r="H11" s="11" t="n"/>
      <c r="I11" s="9" t="n"/>
    </row>
    <row r="12">
      <c r="A12" s="8" t="inlineStr">
        <is>
          <t>E08</t>
        </is>
      </c>
      <c r="B12" s="8" t="n">
        <v>1</v>
      </c>
      <c r="C12" s="8" t="n"/>
      <c r="D12" s="9" t="n"/>
      <c r="E12" s="10" t="n"/>
      <c r="F12" s="10" t="n"/>
      <c r="G12" s="10" t="n"/>
      <c r="H12" s="11" t="n"/>
      <c r="I12" s="9" t="n"/>
    </row>
    <row r="13">
      <c r="A13" s="8" t="inlineStr">
        <is>
          <t>E09</t>
        </is>
      </c>
      <c r="B13" s="8" t="n">
        <v>1</v>
      </c>
      <c r="C13" s="8" t="n"/>
      <c r="D13" s="9" t="n"/>
      <c r="E13" s="10" t="n"/>
      <c r="F13" s="10" t="n"/>
      <c r="G13" s="10" t="n"/>
      <c r="H13" s="11" t="n"/>
      <c r="I13" s="9" t="n"/>
    </row>
    <row r="14">
      <c r="A14" s="8" t="inlineStr">
        <is>
          <t>E10</t>
        </is>
      </c>
      <c r="B14" s="8" t="n">
        <v>1</v>
      </c>
      <c r="C14" s="8" t="n"/>
      <c r="D14" s="9" t="n"/>
      <c r="E14" s="10" t="n"/>
      <c r="F14" s="10" t="n"/>
      <c r="G14" s="10" t="n"/>
      <c r="H14" s="11" t="n"/>
      <c r="I14" s="9" t="n"/>
    </row>
    <row r="15">
      <c r="A15" s="8" t="inlineStr">
        <is>
          <t>E11</t>
        </is>
      </c>
      <c r="B15" s="8" t="n">
        <v>1</v>
      </c>
      <c r="C15" s="8" t="n"/>
      <c r="D15" s="9" t="n"/>
      <c r="E15" s="10" t="n"/>
      <c r="F15" s="10" t="n"/>
      <c r="G15" s="10" t="n"/>
      <c r="H15" s="11" t="n"/>
      <c r="I15" s="9" t="n"/>
    </row>
    <row r="16">
      <c r="A16" s="8" t="inlineStr">
        <is>
          <t>E12</t>
        </is>
      </c>
      <c r="B16" s="8" t="n">
        <v>1</v>
      </c>
      <c r="C16" s="8" t="n"/>
      <c r="D16" s="9" t="n"/>
      <c r="E16" s="10" t="n"/>
      <c r="F16" s="10" t="n"/>
      <c r="G16" s="10" t="n"/>
      <c r="H16" s="11" t="n"/>
      <c r="I16" s="9" t="n"/>
    </row>
    <row r="17">
      <c r="A17" s="8" t="inlineStr">
        <is>
          <t>E13</t>
        </is>
      </c>
      <c r="B17" s="8" t="n">
        <v>1</v>
      </c>
      <c r="C17" s="8" t="n"/>
      <c r="D17" s="9" t="n"/>
      <c r="E17" s="10" t="n"/>
      <c r="F17" s="10" t="n"/>
      <c r="G17" s="10" t="n"/>
      <c r="H17" s="11" t="n"/>
      <c r="I17" s="9" t="n"/>
    </row>
    <row r="18">
      <c r="A18" s="8" t="inlineStr">
        <is>
          <t>C01</t>
        </is>
      </c>
      <c r="B18" s="8" t="n">
        <v>2</v>
      </c>
      <c r="C18" s="8" t="n"/>
      <c r="D18" s="9" t="n"/>
      <c r="E18" s="10" t="n"/>
      <c r="F18" s="10" t="n"/>
      <c r="G18" s="10" t="n"/>
      <c r="H18" s="11" t="n"/>
      <c r="I18" s="9" t="n"/>
    </row>
    <row r="19">
      <c r="A19" s="8" t="inlineStr">
        <is>
          <t>C02</t>
        </is>
      </c>
      <c r="B19" s="8" t="n">
        <v>2</v>
      </c>
      <c r="C19" s="8" t="n"/>
      <c r="D19" s="9" t="n"/>
      <c r="E19" s="10" t="n"/>
      <c r="F19" s="10" t="n"/>
      <c r="G19" s="10" t="n"/>
      <c r="H19" s="11" t="n"/>
      <c r="I19" s="9" t="n"/>
    </row>
    <row r="20">
      <c r="A20" s="8" t="inlineStr">
        <is>
          <t>C03</t>
        </is>
      </c>
      <c r="B20" s="8" t="n">
        <v>2</v>
      </c>
      <c r="C20" s="8" t="n"/>
      <c r="D20" s="9" t="n"/>
      <c r="E20" s="10" t="n"/>
      <c r="F20" s="10" t="n"/>
      <c r="G20" s="10" t="n"/>
      <c r="H20" s="11" t="n"/>
      <c r="I20" s="9" t="n"/>
    </row>
    <row r="21">
      <c r="A21" s="8" t="inlineStr">
        <is>
          <t>C04</t>
        </is>
      </c>
      <c r="B21" s="8" t="n">
        <v>2</v>
      </c>
      <c r="C21" s="8" t="n"/>
      <c r="D21" s="9" t="n"/>
      <c r="E21" s="10" t="n"/>
      <c r="F21" s="10" t="n"/>
      <c r="G21" s="10" t="n"/>
      <c r="H21" s="11" t="n"/>
      <c r="I21" s="9" t="n"/>
    </row>
    <row r="22">
      <c r="A22" s="8" t="inlineStr">
        <is>
          <t>C05</t>
        </is>
      </c>
      <c r="B22" s="8" t="n">
        <v>2</v>
      </c>
      <c r="C22" s="8" t="n"/>
      <c r="D22" s="9" t="n"/>
      <c r="E22" s="10" t="n"/>
      <c r="F22" s="10" t="n"/>
      <c r="G22" s="10" t="n"/>
      <c r="H22" s="11" t="n"/>
      <c r="I22" s="9" t="n"/>
    </row>
    <row r="23">
      <c r="A23" s="8" t="inlineStr">
        <is>
          <t>C06</t>
        </is>
      </c>
      <c r="B23" s="8" t="n">
        <v>2</v>
      </c>
      <c r="C23" s="8" t="n"/>
      <c r="D23" s="9" t="n"/>
      <c r="E23" s="10" t="n"/>
      <c r="F23" s="10" t="n"/>
      <c r="G23" s="10" t="n"/>
      <c r="H23" s="11" t="n"/>
      <c r="I23" s="9" t="n"/>
    </row>
    <row r="24">
      <c r="A24" s="8" t="inlineStr">
        <is>
          <t>C07</t>
        </is>
      </c>
      <c r="B24" s="8" t="n">
        <v>2</v>
      </c>
      <c r="C24" s="8" t="n"/>
      <c r="D24" s="9" t="n"/>
      <c r="E24" s="10" t="n"/>
      <c r="F24" s="10" t="n"/>
      <c r="G24" s="10" t="n"/>
      <c r="H24" s="11" t="n"/>
      <c r="I24" s="9" t="n"/>
    </row>
    <row r="25">
      <c r="A25" s="8" t="inlineStr">
        <is>
          <t>C08</t>
        </is>
      </c>
      <c r="B25" s="8" t="n">
        <v>2</v>
      </c>
      <c r="C25" s="8" t="n"/>
      <c r="D25" s="9" t="n"/>
      <c r="E25" s="10" t="n"/>
      <c r="F25" s="10" t="n"/>
      <c r="G25" s="10" t="n"/>
      <c r="H25" s="11" t="n"/>
      <c r="I25" s="9" t="n"/>
    </row>
    <row r="26">
      <c r="A26" s="8" t="inlineStr">
        <is>
          <t>C09</t>
        </is>
      </c>
      <c r="B26" s="8" t="n">
        <v>2</v>
      </c>
      <c r="C26" s="8" t="n"/>
      <c r="D26" s="9" t="n"/>
      <c r="E26" s="10" t="n"/>
      <c r="F26" s="10" t="n"/>
      <c r="G26" s="10" t="n"/>
      <c r="H26" s="11" t="n"/>
      <c r="I26" s="9" t="n"/>
    </row>
    <row r="27">
      <c r="A27" s="8" t="inlineStr">
        <is>
          <t>C10</t>
        </is>
      </c>
      <c r="B27" s="8" t="n">
        <v>2</v>
      </c>
      <c r="C27" s="8" t="n"/>
      <c r="D27" s="9" t="n"/>
      <c r="E27" s="10" t="n"/>
      <c r="F27" s="10" t="n"/>
      <c r="G27" s="10" t="n"/>
      <c r="H27" s="11" t="n"/>
      <c r="I27" s="9" t="n"/>
    </row>
    <row r="28">
      <c r="A28" s="8" t="inlineStr">
        <is>
          <t>C11</t>
        </is>
      </c>
      <c r="B28" s="8" t="n">
        <v>2</v>
      </c>
      <c r="C28" s="8" t="n"/>
      <c r="D28" s="9" t="n"/>
      <c r="E28" s="10" t="n"/>
      <c r="F28" s="10" t="n"/>
      <c r="G28" s="10" t="n"/>
      <c r="H28" s="11" t="n"/>
      <c r="I28" s="9" t="n"/>
    </row>
    <row r="29">
      <c r="A29" s="8" t="inlineStr">
        <is>
          <t>C12</t>
        </is>
      </c>
      <c r="B29" s="8" t="n">
        <v>2</v>
      </c>
      <c r="C29" s="8" t="n"/>
      <c r="D29" s="9" t="n"/>
      <c r="E29" s="10" t="n"/>
      <c r="F29" s="10" t="n"/>
      <c r="G29" s="10" t="n"/>
      <c r="H29" s="11" t="n"/>
      <c r="I29" s="9" t="n"/>
    </row>
    <row r="30">
      <c r="A30" s="8" t="n"/>
      <c r="B30" s="8" t="n"/>
      <c r="C30" s="8" t="n"/>
      <c r="D30" s="9" t="n"/>
      <c r="E30" s="10" t="n"/>
      <c r="F30" s="10" t="n"/>
      <c r="G30" s="10" t="n"/>
      <c r="H30" s="11" t="n"/>
      <c r="I30" s="9" t="n"/>
    </row>
    <row r="31">
      <c r="A31" s="8" t="n"/>
      <c r="B31" s="8" t="n"/>
      <c r="C31" s="8" t="n"/>
      <c r="D31" s="9" t="n"/>
      <c r="E31" s="10" t="n"/>
      <c r="F31" s="10" t="n"/>
      <c r="G31" s="10" t="n"/>
      <c r="H31" s="11" t="n"/>
      <c r="I31" s="9" t="n"/>
    </row>
    <row r="32">
      <c r="A32" s="8" t="n"/>
      <c r="B32" s="8" t="n"/>
      <c r="C32" s="8" t="n"/>
      <c r="D32" s="9" t="n"/>
      <c r="E32" s="10" t="n"/>
      <c r="F32" s="10" t="n"/>
      <c r="G32" s="10" t="n"/>
      <c r="H32" s="11" t="n"/>
      <c r="I32" s="9" t="n"/>
    </row>
    <row r="33">
      <c r="A33" s="8" t="n"/>
      <c r="B33" s="8" t="n"/>
      <c r="C33" s="8" t="n"/>
      <c r="D33" s="9" t="n"/>
      <c r="E33" s="10" t="n"/>
      <c r="F33" s="10" t="n"/>
      <c r="G33" s="10" t="n"/>
      <c r="H33" s="11" t="n"/>
      <c r="I33" s="9" t="n"/>
    </row>
    <row r="34">
      <c r="A34" s="8" t="n"/>
      <c r="B34" s="8" t="n"/>
      <c r="C34" s="8" t="n"/>
      <c r="D34" s="9" t="n"/>
      <c r="E34" s="10" t="n"/>
      <c r="F34" s="10" t="n"/>
      <c r="G34" s="10" t="n"/>
      <c r="H34" s="11" t="n"/>
      <c r="I34" s="9" t="n"/>
    </row>
  </sheetData>
  <mergeCells count="10">
    <mergeCell ref="C2:C3"/>
    <mergeCell ref="I2:I3"/>
    <mergeCell ref="A1:I1"/>
    <mergeCell ref="B2:B3"/>
    <mergeCell ref="A2:A3"/>
    <mergeCell ref="D2:D3"/>
    <mergeCell ref="F2:F3"/>
    <mergeCell ref="E2:E3"/>
    <mergeCell ref="H2:H3"/>
    <mergeCell ref="G2:G3"/>
  </mergeCells>
  <dataValidations count="1">
    <dataValidation sqref="B5:C34" showDropDown="0" showInputMessage="0" showErrorMessage="1" allowBlank="1" errorTitle="코드" error="1 또는 2" type="list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9" customWidth="1" min="4" max="4"/>
    <col width="8" customWidth="1" min="5" max="5"/>
    <col width="9" customWidth="1" min="6" max="6"/>
    <col width="9" customWidth="1" min="7" max="7"/>
    <col width="8" customWidth="1" min="8" max="8"/>
    <col width="6" customWidth="1" min="9" max="9"/>
    <col width="8" customWidth="1" min="10" max="10"/>
    <col width="13" customWidth="1" min="11" max="11"/>
    <col width="13" customWidth="1" min="12" max="12"/>
    <col width="10" customWidth="1" min="13" max="13"/>
  </cols>
  <sheetData>
    <row r="1">
      <c r="A1" s="12" t="inlineStr">
        <is>
          <t>표 1. 대상자의 일반적 특성과 사전 종속변인 (원고에 그대로 옮길 값은 '논문 표기' 열)</t>
        </is>
      </c>
    </row>
    <row r="2">
      <c r="A2" s="13" t="inlineStr">
        <is>
          <t>값은 평균±표준편차. p는 독립표본 t검정(등분산 가정), 성별은 Fisher의 정확검정(양측). 값이 비어 있는 대상자는 그 변인에서만 제외됩니다.</t>
        </is>
      </c>
    </row>
    <row r="4" ht="30" customHeight="1">
      <c r="A4" s="2" t="inlineStr">
        <is>
          <t>변인</t>
        </is>
      </c>
      <c r="B4" s="2" t="inlineStr">
        <is>
          <t>실험군 n</t>
        </is>
      </c>
      <c r="C4" s="2" t="inlineStr">
        <is>
          <t>실험군 M</t>
        </is>
      </c>
      <c r="D4" s="2" t="inlineStr">
        <is>
          <t>실험군 SD</t>
        </is>
      </c>
      <c r="E4" s="2" t="inlineStr">
        <is>
          <t>통제군 n</t>
        </is>
      </c>
      <c r="F4" s="2" t="inlineStr">
        <is>
          <t>통제군 M</t>
        </is>
      </c>
      <c r="G4" s="2" t="inlineStr">
        <is>
          <t>통제군 SD</t>
        </is>
      </c>
      <c r="H4" s="2" t="inlineStr">
        <is>
          <t>t</t>
        </is>
      </c>
      <c r="I4" s="2" t="inlineStr">
        <is>
          <t>df</t>
        </is>
      </c>
      <c r="J4" s="2" t="inlineStr">
        <is>
          <t>p</t>
        </is>
      </c>
      <c r="K4" s="2" t="inlineStr">
        <is>
          <t>실험군
(논문 표기)</t>
        </is>
      </c>
      <c r="L4" s="2" t="inlineStr">
        <is>
          <t>통제군
(논문 표기)</t>
        </is>
      </c>
      <c r="M4" s="2" t="inlineStr">
        <is>
          <t>p
(논문 표기)</t>
        </is>
      </c>
    </row>
    <row r="5">
      <c r="A5" s="14" t="inlineStr">
        <is>
          <t>연령 (세)</t>
        </is>
      </c>
      <c r="B5" s="15">
        <f>SUMPRODUCT(('입력'!$B$5:$B$34=1)*ISNUMBER('입력'!$D$5:$D$34))</f>
        <v/>
      </c>
      <c r="C5" s="16">
        <f t="array" ref="C5">IF(B5&lt;1,"",AVERAGE(IF(('입력'!$B$5:$B$34=1)*ISNUMBER('입력'!$D$5:$D$34),'입력'!$D$5:$D$34)))</f>
        <v/>
      </c>
      <c r="D5" s="16">
        <f t="array" ref="D5">IF(B5&lt;2,"",STDEV(IF(('입력'!$B$5:$B$34=1)*ISNUMBER('입력'!$D$5:$D$34),'입력'!$D$5:$D$34)))</f>
        <v/>
      </c>
      <c r="E5" s="15">
        <f>SUMPRODUCT(('입력'!$B$5:$B$34=2)*ISNUMBER('입력'!$D$5:$D$34))</f>
        <v/>
      </c>
      <c r="F5" s="16">
        <f t="array" ref="F5">IF(E5&lt;1,"",AVERAGE(IF(('입력'!$B$5:$B$34=2)*ISNUMBER('입력'!$D$5:$D$34),'입력'!$D$5:$D$34)))</f>
        <v/>
      </c>
      <c r="G5" s="16">
        <f t="array" ref="G5">IF(E5&lt;2,"",STDEV(IF(('입력'!$B$5:$B$34=2)*ISNUMBER('입력'!$D$5:$D$34),'입력'!$D$5:$D$34)))</f>
        <v/>
      </c>
      <c r="H5" s="17">
        <f>IF(OR(B5&lt;2,E5&lt;2),"",IF(ROUND(SQRT(((B5-1)*D5^2+(E5-1)*G5^2)/(B5+E5-2)),10)=0,"",(C5-F5)/(SQRT(((B5-1)*D5^2+(E5-1)*G5^2)/(B5+E5-2))*SQRT(1/B5+1/E5))))</f>
        <v/>
      </c>
      <c r="I5" s="15">
        <f>IF(H5="","",B5+E5-2)</f>
        <v/>
      </c>
      <c r="J5" s="18">
        <f>IF(H5="","",TDIST(ABS(H5),I5,2))</f>
        <v/>
      </c>
      <c r="K5" s="19">
        <f>IF(C5="","",TEXT(C5,"0.0")&amp;"±"&amp;IF(D5="","",TEXT(D5,"0.0")))</f>
        <v/>
      </c>
      <c r="L5" s="19">
        <f>IF(F5="","",TEXT(F5,"0.0")&amp;"±"&amp;IF(G5="","",TEXT(G5,"0.0")))</f>
        <v/>
      </c>
      <c r="M5" s="19">
        <f>IF(J5="","",IF(J5&lt;0.001,"&lt;.001",TEXT(J5,".000")))</f>
        <v/>
      </c>
    </row>
    <row r="6">
      <c r="A6" s="14" t="inlineStr">
        <is>
          <t>신장 (cm)</t>
        </is>
      </c>
      <c r="B6" s="15">
        <f>SUMPRODUCT(('입력'!$B$5:$B$34=1)*ISNUMBER('입력'!$E$5:$E$34))</f>
        <v/>
      </c>
      <c r="C6" s="16">
        <f t="array" ref="C6">IF(B6&lt;1,"",AVERAGE(IF(('입력'!$B$5:$B$34=1)*ISNUMBER('입력'!$E$5:$E$34),'입력'!$E$5:$E$34)))</f>
        <v/>
      </c>
      <c r="D6" s="16">
        <f t="array" ref="D6">IF(B6&lt;2,"",STDEV(IF(('입력'!$B$5:$B$34=1)*ISNUMBER('입력'!$E$5:$E$34),'입력'!$E$5:$E$34)))</f>
        <v/>
      </c>
      <c r="E6" s="15">
        <f>SUMPRODUCT(('입력'!$B$5:$B$34=2)*ISNUMBER('입력'!$E$5:$E$34))</f>
        <v/>
      </c>
      <c r="F6" s="16">
        <f t="array" ref="F6">IF(E6&lt;1,"",AVERAGE(IF(('입력'!$B$5:$B$34=2)*ISNUMBER('입력'!$E$5:$E$34),'입력'!$E$5:$E$34)))</f>
        <v/>
      </c>
      <c r="G6" s="16">
        <f t="array" ref="G6">IF(E6&lt;2,"",STDEV(IF(('입력'!$B$5:$B$34=2)*ISNUMBER('입력'!$E$5:$E$34),'입력'!$E$5:$E$34)))</f>
        <v/>
      </c>
      <c r="H6" s="17">
        <f>IF(OR(B6&lt;2,E6&lt;2),"",IF(ROUND(SQRT(((B6-1)*D6^2+(E6-1)*G6^2)/(B6+E6-2)),10)=0,"",(C6-F6)/(SQRT(((B6-1)*D6^2+(E6-1)*G6^2)/(B6+E6-2))*SQRT(1/B6+1/E6))))</f>
        <v/>
      </c>
      <c r="I6" s="15">
        <f>IF(H6="","",B6+E6-2)</f>
        <v/>
      </c>
      <c r="J6" s="18">
        <f>IF(H6="","",TDIST(ABS(H6),I6,2))</f>
        <v/>
      </c>
      <c r="K6" s="19">
        <f>IF(C6="","",TEXT(C6,"0.0")&amp;"±"&amp;IF(D6="","",TEXT(D6,"0.0")))</f>
        <v/>
      </c>
      <c r="L6" s="19">
        <f>IF(F6="","",TEXT(F6,"0.0")&amp;"±"&amp;IF(G6="","",TEXT(G6,"0.0")))</f>
        <v/>
      </c>
      <c r="M6" s="19">
        <f>IF(J6="","",IF(J6&lt;0.001,"&lt;.001",TEXT(J6,".000")))</f>
        <v/>
      </c>
    </row>
    <row r="7">
      <c r="A7" s="14" t="inlineStr">
        <is>
          <t>체중 (kg)</t>
        </is>
      </c>
      <c r="B7" s="15">
        <f>SUMPRODUCT(('입력'!$B$5:$B$34=1)*ISNUMBER('입력'!$F$5:$F$34))</f>
        <v/>
      </c>
      <c r="C7" s="16">
        <f t="array" ref="C7">IF(B7&lt;1,"",AVERAGE(IF(('입력'!$B$5:$B$34=1)*ISNUMBER('입력'!$F$5:$F$34),'입력'!$F$5:$F$34)))</f>
        <v/>
      </c>
      <c r="D7" s="16">
        <f t="array" ref="D7">IF(B7&lt;2,"",STDEV(IF(('입력'!$B$5:$B$34=1)*ISNUMBER('입력'!$F$5:$F$34),'입력'!$F$5:$F$34)))</f>
        <v/>
      </c>
      <c r="E7" s="15">
        <f>SUMPRODUCT(('입력'!$B$5:$B$34=2)*ISNUMBER('입력'!$F$5:$F$34))</f>
        <v/>
      </c>
      <c r="F7" s="16">
        <f t="array" ref="F7">IF(E7&lt;1,"",AVERAGE(IF(('입력'!$B$5:$B$34=2)*ISNUMBER('입력'!$F$5:$F$34),'입력'!$F$5:$F$34)))</f>
        <v/>
      </c>
      <c r="G7" s="16">
        <f t="array" ref="G7">IF(E7&lt;2,"",STDEV(IF(('입력'!$B$5:$B$34=2)*ISNUMBER('입력'!$F$5:$F$34),'입력'!$F$5:$F$34)))</f>
        <v/>
      </c>
      <c r="H7" s="17">
        <f>IF(OR(B7&lt;2,E7&lt;2),"",IF(ROUND(SQRT(((B7-1)*D7^2+(E7-1)*G7^2)/(B7+E7-2)),10)=0,"",(C7-F7)/(SQRT(((B7-1)*D7^2+(E7-1)*G7^2)/(B7+E7-2))*SQRT(1/B7+1/E7))))</f>
        <v/>
      </c>
      <c r="I7" s="15">
        <f>IF(H7="","",B7+E7-2)</f>
        <v/>
      </c>
      <c r="J7" s="18">
        <f>IF(H7="","",TDIST(ABS(H7),I7,2))</f>
        <v/>
      </c>
      <c r="K7" s="19">
        <f>IF(C7="","",TEXT(C7,"0.0")&amp;"±"&amp;IF(D7="","",TEXT(D7,"0.0")))</f>
        <v/>
      </c>
      <c r="L7" s="19">
        <f>IF(F7="","",TEXT(F7,"0.0")&amp;"±"&amp;IF(G7="","",TEXT(G7,"0.0")))</f>
        <v/>
      </c>
      <c r="M7" s="19">
        <f>IF(J7="","",IF(J7&lt;0.001,"&lt;.001",TEXT(J7,".000")))</f>
        <v/>
      </c>
    </row>
    <row r="8">
      <c r="A8" s="14" t="inlineStr">
        <is>
          <t>선수 경력 (년)</t>
        </is>
      </c>
      <c r="B8" s="15">
        <f>SUMPRODUCT(('입력'!$B$5:$B$34=1)*ISNUMBER('입력'!$G$5:$G$34))</f>
        <v/>
      </c>
      <c r="C8" s="16">
        <f t="array" ref="C8">IF(B8&lt;1,"",AVERAGE(IF(('입력'!$B$5:$B$34=1)*ISNUMBER('입력'!$G$5:$G$34),'입력'!$G$5:$G$34)))</f>
        <v/>
      </c>
      <c r="D8" s="16">
        <f t="array" ref="D8">IF(B8&lt;2,"",STDEV(IF(('입력'!$B$5:$B$34=1)*ISNUMBER('입력'!$G$5:$G$34),'입력'!$G$5:$G$34)))</f>
        <v/>
      </c>
      <c r="E8" s="15">
        <f>SUMPRODUCT(('입력'!$B$5:$B$34=2)*ISNUMBER('입력'!$G$5:$G$34))</f>
        <v/>
      </c>
      <c r="F8" s="16">
        <f t="array" ref="F8">IF(E8&lt;1,"",AVERAGE(IF(('입력'!$B$5:$B$34=2)*ISNUMBER('입력'!$G$5:$G$34),'입력'!$G$5:$G$34)))</f>
        <v/>
      </c>
      <c r="G8" s="16">
        <f t="array" ref="G8">IF(E8&lt;2,"",STDEV(IF(('입력'!$B$5:$B$34=2)*ISNUMBER('입력'!$G$5:$G$34),'입력'!$G$5:$G$34)))</f>
        <v/>
      </c>
      <c r="H8" s="17">
        <f>IF(OR(B8&lt;2,E8&lt;2),"",IF(ROUND(SQRT(((B8-1)*D8^2+(E8-1)*G8^2)/(B8+E8-2)),10)=0,"",(C8-F8)/(SQRT(((B8-1)*D8^2+(E8-1)*G8^2)/(B8+E8-2))*SQRT(1/B8+1/E8))))</f>
        <v/>
      </c>
      <c r="I8" s="15">
        <f>IF(H8="","",B8+E8-2)</f>
        <v/>
      </c>
      <c r="J8" s="18">
        <f>IF(H8="","",TDIST(ABS(H8),I8,2))</f>
        <v/>
      </c>
      <c r="K8" s="19">
        <f>IF(C8="","",TEXT(C8,"0.0")&amp;"±"&amp;IF(D8="","",TEXT(D8,"0.0")))</f>
        <v/>
      </c>
      <c r="L8" s="19">
        <f>IF(F8="","",TEXT(F8,"0.0")&amp;"±"&amp;IF(G8="","",TEXT(G8,"0.0")))</f>
        <v/>
      </c>
      <c r="M8" s="19">
        <f>IF(J8="","",IF(J8&lt;0.001,"&lt;.001",TEXT(J8,".000")))</f>
        <v/>
      </c>
    </row>
    <row r="9">
      <c r="A9" s="14" t="inlineStr">
        <is>
          <t>VO2max (mL/kg/min)</t>
        </is>
      </c>
      <c r="B9" s="15">
        <f>SUMPRODUCT(('입력'!$B$5:$B$34=1)*ISNUMBER('입력'!$H$5:$H$34))</f>
        <v/>
      </c>
      <c r="C9" s="20">
        <f t="array" ref="C9">IF(B9&lt;1,"",AVERAGE(IF(('입력'!$B$5:$B$34=1)*ISNUMBER('입력'!$H$5:$H$34),'입력'!$H$5:$H$34)))</f>
        <v/>
      </c>
      <c r="D9" s="20">
        <f t="array" ref="D9">IF(B9&lt;2,"",STDEV(IF(('입력'!$B$5:$B$34=1)*ISNUMBER('입력'!$H$5:$H$34),'입력'!$H$5:$H$34)))</f>
        <v/>
      </c>
      <c r="E9" s="15">
        <f>SUMPRODUCT(('입력'!$B$5:$B$34=2)*ISNUMBER('입력'!$H$5:$H$34))</f>
        <v/>
      </c>
      <c r="F9" s="20">
        <f t="array" ref="F9">IF(E9&lt;1,"",AVERAGE(IF(('입력'!$B$5:$B$34=2)*ISNUMBER('입력'!$H$5:$H$34),'입력'!$H$5:$H$34)))</f>
        <v/>
      </c>
      <c r="G9" s="20">
        <f t="array" ref="G9">IF(E9&lt;2,"",STDEV(IF(('입력'!$B$5:$B$34=2)*ISNUMBER('입력'!$H$5:$H$34),'입력'!$H$5:$H$34)))</f>
        <v/>
      </c>
      <c r="H9" s="17">
        <f>IF(OR(B9&lt;2,E9&lt;2),"",IF(ROUND(SQRT(((B9-1)*D9^2+(E9-1)*G9^2)/(B9+E9-2)),10)=0,"",(C9-F9)/(SQRT(((B9-1)*D9^2+(E9-1)*G9^2)/(B9+E9-2))*SQRT(1/B9+1/E9))))</f>
        <v/>
      </c>
      <c r="I9" s="15">
        <f>IF(H9="","",B9+E9-2)</f>
        <v/>
      </c>
      <c r="J9" s="18">
        <f>IF(H9="","",TDIST(ABS(H9),I9,2))</f>
        <v/>
      </c>
      <c r="K9" s="19">
        <f>IF(C9="","",TEXT(C9,"0.00")&amp;"±"&amp;IF(D9="","",TEXT(D9,"0.00")))</f>
        <v/>
      </c>
      <c r="L9" s="19">
        <f>IF(F9="","",TEXT(F9,"0.00")&amp;"±"&amp;IF(G9="","",TEXT(G9,"0.00")))</f>
        <v/>
      </c>
      <c r="M9" s="19">
        <f>IF(J9="","",IF(J9&lt;0.001,"&lt;.001",TEXT(J9,".000")))</f>
        <v/>
      </c>
    </row>
    <row r="10">
      <c r="A10" s="14" t="inlineStr">
        <is>
          <t>FMS 총점 (점)</t>
        </is>
      </c>
      <c r="B10" s="15">
        <f>SUMPRODUCT(('입력'!$B$5:$B$34=1)*ISNUMBER('입력'!$I$5:$I$34))</f>
        <v/>
      </c>
      <c r="C10" s="20">
        <f t="array" ref="C10">IF(B10&lt;1,"",AVERAGE(IF(('입력'!$B$5:$B$34=1)*ISNUMBER('입력'!$I$5:$I$34),'입력'!$I$5:$I$34)))</f>
        <v/>
      </c>
      <c r="D10" s="20">
        <f t="array" ref="D10">IF(B10&lt;2,"",STDEV(IF(('입력'!$B$5:$B$34=1)*ISNUMBER('입력'!$I$5:$I$34),'입력'!$I$5:$I$34)))</f>
        <v/>
      </c>
      <c r="E10" s="15">
        <f>SUMPRODUCT(('입력'!$B$5:$B$34=2)*ISNUMBER('입력'!$I$5:$I$34))</f>
        <v/>
      </c>
      <c r="F10" s="20">
        <f t="array" ref="F10">IF(E10&lt;1,"",AVERAGE(IF(('입력'!$B$5:$B$34=2)*ISNUMBER('입력'!$I$5:$I$34),'입력'!$I$5:$I$34)))</f>
        <v/>
      </c>
      <c r="G10" s="20">
        <f t="array" ref="G10">IF(E10&lt;2,"",STDEV(IF(('입력'!$B$5:$B$34=2)*ISNUMBER('입력'!$I$5:$I$34),'입력'!$I$5:$I$34)))</f>
        <v/>
      </c>
      <c r="H10" s="17">
        <f>IF(OR(B10&lt;2,E10&lt;2),"",IF(ROUND(SQRT(((B10-1)*D10^2+(E10-1)*G10^2)/(B10+E10-2)),10)=0,"",(C10-F10)/(SQRT(((B10-1)*D10^2+(E10-1)*G10^2)/(B10+E10-2))*SQRT(1/B10+1/E10))))</f>
        <v/>
      </c>
      <c r="I10" s="15">
        <f>IF(H10="","",B10+E10-2)</f>
        <v/>
      </c>
      <c r="J10" s="18">
        <f>IF(H10="","",TDIST(ABS(H10),I10,2))</f>
        <v/>
      </c>
      <c r="K10" s="19">
        <f>IF(C10="","",TEXT(C10,"0.00")&amp;"±"&amp;IF(D10="","",TEXT(D10,"0.00")))</f>
        <v/>
      </c>
      <c r="L10" s="19">
        <f>IF(F10="","",TEXT(F10,"0.00")&amp;"±"&amp;IF(G10="","",TEXT(G10,"0.00")))</f>
        <v/>
      </c>
      <c r="M10" s="19">
        <f>IF(J10="","",IF(J10&lt;0.001,"&lt;.001",TEXT(J10,".000")))</f>
        <v/>
      </c>
    </row>
    <row r="11">
      <c r="A11" s="14" t="inlineStr">
        <is>
          <t>성별 (남/여, 명)</t>
        </is>
      </c>
      <c r="B11" s="21">
        <f>SUMPRODUCT(('입력'!$B$5:$B$34=1)*('입력'!$C$5:$C$34=1))</f>
        <v/>
      </c>
      <c r="C11" s="21">
        <f>SUMPRODUCT(('입력'!$B$5:$B$34=1)*('입력'!$C$5:$C$34=2))</f>
        <v/>
      </c>
      <c r="D11" s="21" t="n"/>
      <c r="E11" s="21">
        <f>SUMPRODUCT(('입력'!$B$5:$B$34=2)*('입력'!$C$5:$C$34=1))</f>
        <v/>
      </c>
      <c r="F11" s="21">
        <f>SUMPRODUCT(('입력'!$B$5:$B$34=2)*('입력'!$C$5:$C$34=2))</f>
        <v/>
      </c>
      <c r="G11" s="21" t="n"/>
      <c r="H11" s="21" t="n"/>
      <c r="I11" s="21" t="n"/>
      <c r="J11" s="18">
        <f t="array" ref="J11">IF(OR((B11+C11+E11+F11)=0,(B11+E11)=0,(B11+E11)=(B11+C11+E11+F11)),"",MIN(1,SUM(IF(IFERROR(HYPGEOMDIST(ROW($1:$40)-1,(B11+C11),(B11+E11),(B11+C11+E11+F11)),0)&lt;=HYPGEOMDIST(B11,(B11+C11),(B11+E11),(B11+C11+E11+F11))*(1+1E-7),IFERROR(HYPGEOMDIST(ROW($1:$40)-1,(B11+C11),(B11+E11),(B11+C11+E11+F11)),0),0))))</f>
        <v/>
      </c>
      <c r="K11" s="21">
        <f>B11&amp;" / "&amp;C11</f>
        <v/>
      </c>
      <c r="L11" s="21">
        <f>E11&amp;" / "&amp;F11</f>
        <v/>
      </c>
      <c r="M11" s="21">
        <f>IF(J11="","—",IF(J11&lt;0.001,"&lt;.001",TEXT(J11,".000")))</f>
        <v/>
      </c>
    </row>
    <row r="13">
      <c r="A13" s="13" t="inlineStr">
        <is>
          <t>성별이 모두 같으면(예: 전원 남자) p는 '—'로 표시됩니다. 표 1에서 성별 행 대신 '전원 남자'라고 주석에 적어도 됩니다. 사전 VO2max나 FMS의 p &lt; .05이면 원고의 공분산분석 결과를 함께 보고하세요.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2026-10-28T07:36:53Z</dcterms:created>
  <dcterms:modified xmlns:dcterms="http://purl.org/dc/terms/" xmlns:xsi="http://www.w3.org/2001/XMLSchema-instance" xsi:type="dcterms:W3CDTF">2026-10-28T07:36:53Z</dcterms:modified>
</cp:coreProperties>
</file>