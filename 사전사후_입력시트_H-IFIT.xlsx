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력" sheetId="1" state="visible" r:id="rId1"/>
    <sheet xmlns:r="http://schemas.openxmlformats.org/officeDocument/2006/relationships" name="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11">
    <font>
      <name val="Calibri"/>
      <family val="2"/>
      <color theme="1"/>
      <sz val="11"/>
      <scheme val="minor"/>
    </font>
    <font>
      <name val="맑은 고딕"/>
      <color rgb="00595959"/>
      <sz val="9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i val="1"/>
      <color rgb="007F7F7F"/>
      <sz val="10"/>
    </font>
    <font>
      <name val="맑은 고딕"/>
      <color rgb="000000FF"/>
      <sz val="10"/>
    </font>
    <font>
      <name val="맑은 고딕"/>
      <color rgb="00000000"/>
      <sz val="10"/>
    </font>
    <font>
      <name val="맑은 고딕"/>
      <b val="1"/>
      <sz val="12"/>
    </font>
    <font>
      <name val="맑은 고딕"/>
      <b val="1"/>
      <sz val="11"/>
    </font>
    <font>
      <name val="맑은 고딕"/>
      <b val="1"/>
      <color rgb="00FFFFFF"/>
      <sz val="9"/>
    </font>
    <font>
      <name val="맑은 고딕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E7E6E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" fontId="4" fillId="5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49" fontId="4" fillId="4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center" vertical="center"/>
    </xf>
    <xf numFmtId="1" fontId="5" fillId="6" borderId="1" applyAlignment="1" pivotButton="0" quotePrefix="0" xfId="0">
      <alignment horizontal="center" vertical="center"/>
    </xf>
    <xf numFmtId="1" fontId="6" fillId="4" borderId="1" applyAlignment="1" pivotButton="0" quotePrefix="0" xfId="0">
      <alignment horizontal="center" vertical="center"/>
    </xf>
    <xf numFmtId="49" fontId="6" fillId="4" borderId="1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" fontId="10" fillId="4" borderId="1" applyAlignment="1" pivotButton="0" quotePrefix="0" xfId="0">
      <alignment horizontal="center" vertical="center"/>
    </xf>
    <xf numFmtId="2" fontId="10" fillId="4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165" fontId="10" fillId="4" borderId="1" applyAlignment="1" pivotButton="0" quotePrefix="0" xfId="0">
      <alignment horizontal="center" vertical="center"/>
    </xf>
    <xf numFmtId="49" fontId="10" fillId="4" borderId="1" applyAlignment="1" pivotButton="0" quotePrefix="0" xfId="0">
      <alignment horizontal="center" vertical="center"/>
    </xf>
    <xf numFmtId="49" fontId="10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8" customWidth="1" min="21" max="21"/>
    <col width="8" customWidth="1" min="22" max="22"/>
    <col width="42" customWidth="1" min="23" max="23"/>
  </cols>
  <sheetData>
    <row r="1" ht="34" customHeight="1">
      <c r="A1" s="1" t="inlineStr">
        <is>
          <t>노란 칸에 사전·사후 값만 입력하세요. 집단: 1=실험군, 2=통제군. 측정하지 않은 값은 빈칸(0 아님). FMS 하위항목은 최종 항목 점수(좌우 중 낮은 점수, 통증 시 0점)를 입력합니다. 하위항목이 없으면 비워 두셔도 됩니다. 결과는 '결과' 시트에 자동으로 계산됩니다.</t>
        </is>
      </c>
    </row>
    <row r="2" ht="40" customHeight="1">
      <c r="A2" s="2" t="inlineStr">
        <is>
          <t>ID</t>
        </is>
      </c>
      <c r="B2" s="2" t="inlineStr">
        <is>
          <t>집단
1=실험
2=통제</t>
        </is>
      </c>
      <c r="C2" s="2" t="inlineStr">
        <is>
          <t>VO2max (mL/kg/min)</t>
        </is>
      </c>
      <c r="D2" s="2" t="n"/>
      <c r="E2" s="2" t="inlineStr">
        <is>
          <t>FMS 총점 (0–21)</t>
        </is>
      </c>
      <c r="F2" s="2" t="n"/>
      <c r="G2" s="2" t="inlineStr">
        <is>
          <t>Deep Squat</t>
        </is>
      </c>
      <c r="H2" s="2" t="n"/>
      <c r="I2" s="2" t="inlineStr">
        <is>
          <t>Hurdle Step</t>
        </is>
      </c>
      <c r="J2" s="2" t="n"/>
      <c r="K2" s="2" t="inlineStr">
        <is>
          <t>In-line Lunge</t>
        </is>
      </c>
      <c r="L2" s="2" t="n"/>
      <c r="M2" s="2" t="inlineStr">
        <is>
          <t>Shoulder Mobility</t>
        </is>
      </c>
      <c r="N2" s="2" t="n"/>
      <c r="O2" s="2" t="inlineStr">
        <is>
          <t>Active Straight Leg Raise</t>
        </is>
      </c>
      <c r="P2" s="2" t="n"/>
      <c r="Q2" s="2" t="inlineStr">
        <is>
          <t>Trunk Stability Push-up</t>
        </is>
      </c>
      <c r="R2" s="2" t="n"/>
      <c r="S2" s="2" t="inlineStr">
        <is>
          <t>Rotary Stability</t>
        </is>
      </c>
      <c r="T2" s="2" t="n"/>
      <c r="U2" s="3" t="inlineStr">
        <is>
          <t>하위항목 합 (자동)</t>
        </is>
      </c>
      <c r="V2" s="3" t="n"/>
      <c r="W2" s="3" t="inlineStr">
        <is>
          <t>자동 점검</t>
        </is>
      </c>
    </row>
    <row r="3">
      <c r="A3" s="4" t="n"/>
      <c r="B3" s="4" t="n"/>
      <c r="C3" s="5" t="inlineStr">
        <is>
          <t>사전</t>
        </is>
      </c>
      <c r="D3" s="5" t="inlineStr">
        <is>
          <t>사후</t>
        </is>
      </c>
      <c r="E3" s="5" t="inlineStr">
        <is>
          <t>사전</t>
        </is>
      </c>
      <c r="F3" s="5" t="inlineStr">
        <is>
          <t>사후</t>
        </is>
      </c>
      <c r="G3" s="5" t="inlineStr">
        <is>
          <t>사전</t>
        </is>
      </c>
      <c r="H3" s="5" t="inlineStr">
        <is>
          <t>사후</t>
        </is>
      </c>
      <c r="I3" s="5" t="inlineStr">
        <is>
          <t>사전</t>
        </is>
      </c>
      <c r="J3" s="5" t="inlineStr">
        <is>
          <t>사후</t>
        </is>
      </c>
      <c r="K3" s="5" t="inlineStr">
        <is>
          <t>사전</t>
        </is>
      </c>
      <c r="L3" s="5" t="inlineStr">
        <is>
          <t>사후</t>
        </is>
      </c>
      <c r="M3" s="5" t="inlineStr">
        <is>
          <t>사전</t>
        </is>
      </c>
      <c r="N3" s="5" t="inlineStr">
        <is>
          <t>사후</t>
        </is>
      </c>
      <c r="O3" s="5" t="inlineStr">
        <is>
          <t>사전</t>
        </is>
      </c>
      <c r="P3" s="5" t="inlineStr">
        <is>
          <t>사후</t>
        </is>
      </c>
      <c r="Q3" s="5" t="inlineStr">
        <is>
          <t>사전</t>
        </is>
      </c>
      <c r="R3" s="5" t="inlineStr">
        <is>
          <t>사후</t>
        </is>
      </c>
      <c r="S3" s="5" t="inlineStr">
        <is>
          <t>사전</t>
        </is>
      </c>
      <c r="T3" s="5" t="inlineStr">
        <is>
          <t>사후</t>
        </is>
      </c>
      <c r="U3" s="3" t="inlineStr">
        <is>
          <t>사전</t>
        </is>
      </c>
      <c r="V3" s="3" t="inlineStr">
        <is>
          <t>사후</t>
        </is>
      </c>
      <c r="W3" s="4" t="n"/>
    </row>
    <row r="4">
      <c r="A4" s="6" t="inlineStr">
        <is>
          <t>예시</t>
        </is>
      </c>
      <c r="B4" s="6" t="inlineStr">
        <is>
          <t>(예시)</t>
        </is>
      </c>
      <c r="C4" s="7" t="n">
        <v>45</v>
      </c>
      <c r="D4" s="7" t="n">
        <v>47.5</v>
      </c>
      <c r="E4" s="8" t="n">
        <v>13</v>
      </c>
      <c r="F4" s="8" t="n">
        <v>15</v>
      </c>
      <c r="G4" s="8" t="n">
        <v>2</v>
      </c>
      <c r="H4" s="8" t="n">
        <v>3</v>
      </c>
      <c r="I4" s="8" t="n">
        <v>2</v>
      </c>
      <c r="J4" s="8" t="n">
        <v>2</v>
      </c>
      <c r="K4" s="8" t="n">
        <v>2</v>
      </c>
      <c r="L4" s="8" t="n">
        <v>3</v>
      </c>
      <c r="M4" s="8" t="n">
        <v>2</v>
      </c>
      <c r="N4" s="8" t="n">
        <v>2</v>
      </c>
      <c r="O4" s="8" t="n">
        <v>2</v>
      </c>
      <c r="P4" s="8" t="n">
        <v>2</v>
      </c>
      <c r="Q4" s="8" t="n">
        <v>2</v>
      </c>
      <c r="R4" s="8" t="n">
        <v>2</v>
      </c>
      <c r="S4" s="8" t="n">
        <v>1</v>
      </c>
      <c r="T4" s="8" t="n">
        <v>1</v>
      </c>
      <c r="U4" s="9">
        <f>IF(COUNT(G4,I4,K4,M4,O4,Q4,S4)=7,SUM(G4,I4,K4,M4,O4,Q4,S4),"")</f>
        <v/>
      </c>
      <c r="V4" s="9">
        <f>IF(COUNT(H4,J4,L4,N4,P4,R4,T4)=7,SUM(H4,J4,L4,N4,P4,R4,T4),"")</f>
        <v/>
      </c>
      <c r="W4" s="10">
        <f>IF(A4="","",TRIM(IF(AND(ISNUMBER(U4),ISNUMBER(E4)),IF(U4&lt;&gt;E4,"사전: FMS 총점≠하위항목 합 ",""),"")&amp;IF(AND(ISNUMBER(V4),ISNUMBER(F4)),IF(V4&lt;&gt;F4,"사후: FMS 총점≠하위항목 합 ",""),"")&amp;IF(ISNUMBER(E4),IF(E4&lt;&gt;INT(E4),"사전 총점 정수 아님 ",""),"")&amp;IF(ISNUMBER(F4),IF(F4&lt;&gt;INT(F4),"사후 총점 정수 아님 ",""),"")&amp;IF(AND(COUNT(G4,I4,K4,M4,O4,Q4,S4)&gt;0,COUNT(G4,I4,K4,M4,O4,Q4,S4)&lt;7),"사전 하위항목 일부 빈칸 ","")&amp;IF(AND(COUNT(H4,J4,L4,N4,P4,R4,T4)&gt;0,COUNT(H4,J4,L4,N4,P4,R4,T4)&lt;7),"사후 하위항목 일부 빈칸 ","")))</f>
        <v/>
      </c>
    </row>
    <row r="5">
      <c r="A5" s="11" t="inlineStr">
        <is>
          <t>E01</t>
        </is>
      </c>
      <c r="B5" s="11" t="n">
        <v>1</v>
      </c>
      <c r="C5" s="12" t="n"/>
      <c r="D5" s="12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4">
        <f>IF(COUNT(G5,I5,K5,M5,O5,Q5,S5)=7,SUM(G5,I5,K5,M5,O5,Q5,S5),"")</f>
        <v/>
      </c>
      <c r="V5" s="14">
        <f>IF(COUNT(H5,J5,L5,N5,P5,R5,T5)=7,SUM(H5,J5,L5,N5,P5,R5,T5),"")</f>
        <v/>
      </c>
      <c r="W5" s="15">
        <f>IF(A5="","",TRIM(IF(AND(ISNUMBER(U5),ISNUMBER(E5)),IF(U5&lt;&gt;E5,"사전: FMS 총점≠하위항목 합 ",""),"")&amp;IF(AND(ISNUMBER(V5),ISNUMBER(F5)),IF(V5&lt;&gt;F5,"사후: FMS 총점≠하위항목 합 ",""),"")&amp;IF(ISNUMBER(E5),IF(E5&lt;&gt;INT(E5),"사전 총점 정수 아님 ",""),"")&amp;IF(ISNUMBER(F5),IF(F5&lt;&gt;INT(F5),"사후 총점 정수 아님 ",""),"")&amp;IF(AND(COUNT(G5,I5,K5,M5,O5,Q5,S5)&gt;0,COUNT(G5,I5,K5,M5,O5,Q5,S5)&lt;7),"사전 하위항목 일부 빈칸 ","")&amp;IF(AND(COUNT(H5,J5,L5,N5,P5,R5,T5)&gt;0,COUNT(H5,J5,L5,N5,P5,R5,T5)&lt;7),"사후 하위항목 일부 빈칸 ","")))</f>
        <v/>
      </c>
    </row>
    <row r="6">
      <c r="A6" s="11" t="inlineStr">
        <is>
          <t>E02</t>
        </is>
      </c>
      <c r="B6" s="11" t="n">
        <v>1</v>
      </c>
      <c r="C6" s="12" t="n"/>
      <c r="D6" s="12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4">
        <f>IF(COUNT(G6,I6,K6,M6,O6,Q6,S6)=7,SUM(G6,I6,K6,M6,O6,Q6,S6),"")</f>
        <v/>
      </c>
      <c r="V6" s="14">
        <f>IF(COUNT(H6,J6,L6,N6,P6,R6,T6)=7,SUM(H6,J6,L6,N6,P6,R6,T6),"")</f>
        <v/>
      </c>
      <c r="W6" s="15">
        <f>IF(A6="","",TRIM(IF(AND(ISNUMBER(U6),ISNUMBER(E6)),IF(U6&lt;&gt;E6,"사전: FMS 총점≠하위항목 합 ",""),"")&amp;IF(AND(ISNUMBER(V6),ISNUMBER(F6)),IF(V6&lt;&gt;F6,"사후: FMS 총점≠하위항목 합 ",""),"")&amp;IF(ISNUMBER(E6),IF(E6&lt;&gt;INT(E6),"사전 총점 정수 아님 ",""),"")&amp;IF(ISNUMBER(F6),IF(F6&lt;&gt;INT(F6),"사후 총점 정수 아님 ",""),"")&amp;IF(AND(COUNT(G6,I6,K6,M6,O6,Q6,S6)&gt;0,COUNT(G6,I6,K6,M6,O6,Q6,S6)&lt;7),"사전 하위항목 일부 빈칸 ","")&amp;IF(AND(COUNT(H6,J6,L6,N6,P6,R6,T6)&gt;0,COUNT(H6,J6,L6,N6,P6,R6,T6)&lt;7),"사후 하위항목 일부 빈칸 ","")))</f>
        <v/>
      </c>
    </row>
    <row r="7">
      <c r="A7" s="11" t="inlineStr">
        <is>
          <t>E03</t>
        </is>
      </c>
      <c r="B7" s="11" t="n">
        <v>1</v>
      </c>
      <c r="C7" s="12" t="n"/>
      <c r="D7" s="12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4">
        <f>IF(COUNT(G7,I7,K7,M7,O7,Q7,S7)=7,SUM(G7,I7,K7,M7,O7,Q7,S7),"")</f>
        <v/>
      </c>
      <c r="V7" s="14">
        <f>IF(COUNT(H7,J7,L7,N7,P7,R7,T7)=7,SUM(H7,J7,L7,N7,P7,R7,T7),"")</f>
        <v/>
      </c>
      <c r="W7" s="15">
        <f>IF(A7="","",TRIM(IF(AND(ISNUMBER(U7),ISNUMBER(E7)),IF(U7&lt;&gt;E7,"사전: FMS 총점≠하위항목 합 ",""),"")&amp;IF(AND(ISNUMBER(V7),ISNUMBER(F7)),IF(V7&lt;&gt;F7,"사후: FMS 총점≠하위항목 합 ",""),"")&amp;IF(ISNUMBER(E7),IF(E7&lt;&gt;INT(E7),"사전 총점 정수 아님 ",""),"")&amp;IF(ISNUMBER(F7),IF(F7&lt;&gt;INT(F7),"사후 총점 정수 아님 ",""),"")&amp;IF(AND(COUNT(G7,I7,K7,M7,O7,Q7,S7)&gt;0,COUNT(G7,I7,K7,M7,O7,Q7,S7)&lt;7),"사전 하위항목 일부 빈칸 ","")&amp;IF(AND(COUNT(H7,J7,L7,N7,P7,R7,T7)&gt;0,COUNT(H7,J7,L7,N7,P7,R7,T7)&lt;7),"사후 하위항목 일부 빈칸 ","")))</f>
        <v/>
      </c>
    </row>
    <row r="8">
      <c r="A8" s="11" t="inlineStr">
        <is>
          <t>E04</t>
        </is>
      </c>
      <c r="B8" s="11" t="n">
        <v>1</v>
      </c>
      <c r="C8" s="12" t="n"/>
      <c r="D8" s="12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4">
        <f>IF(COUNT(G8,I8,K8,M8,O8,Q8,S8)=7,SUM(G8,I8,K8,M8,O8,Q8,S8),"")</f>
        <v/>
      </c>
      <c r="V8" s="14">
        <f>IF(COUNT(H8,J8,L8,N8,P8,R8,T8)=7,SUM(H8,J8,L8,N8,P8,R8,T8),"")</f>
        <v/>
      </c>
      <c r="W8" s="15">
        <f>IF(A8="","",TRIM(IF(AND(ISNUMBER(U8),ISNUMBER(E8)),IF(U8&lt;&gt;E8,"사전: FMS 총점≠하위항목 합 ",""),"")&amp;IF(AND(ISNUMBER(V8),ISNUMBER(F8)),IF(V8&lt;&gt;F8,"사후: FMS 총점≠하위항목 합 ",""),"")&amp;IF(ISNUMBER(E8),IF(E8&lt;&gt;INT(E8),"사전 총점 정수 아님 ",""),"")&amp;IF(ISNUMBER(F8),IF(F8&lt;&gt;INT(F8),"사후 총점 정수 아님 ",""),"")&amp;IF(AND(COUNT(G8,I8,K8,M8,O8,Q8,S8)&gt;0,COUNT(G8,I8,K8,M8,O8,Q8,S8)&lt;7),"사전 하위항목 일부 빈칸 ","")&amp;IF(AND(COUNT(H8,J8,L8,N8,P8,R8,T8)&gt;0,COUNT(H8,J8,L8,N8,P8,R8,T8)&lt;7),"사후 하위항목 일부 빈칸 ","")))</f>
        <v/>
      </c>
    </row>
    <row r="9">
      <c r="A9" s="11" t="inlineStr">
        <is>
          <t>E05</t>
        </is>
      </c>
      <c r="B9" s="11" t="n">
        <v>1</v>
      </c>
      <c r="C9" s="12" t="n"/>
      <c r="D9" s="12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4">
        <f>IF(COUNT(G9,I9,K9,M9,O9,Q9,S9)=7,SUM(G9,I9,K9,M9,O9,Q9,S9),"")</f>
        <v/>
      </c>
      <c r="V9" s="14">
        <f>IF(COUNT(H9,J9,L9,N9,P9,R9,T9)=7,SUM(H9,J9,L9,N9,P9,R9,T9),"")</f>
        <v/>
      </c>
      <c r="W9" s="15">
        <f>IF(A9="","",TRIM(IF(AND(ISNUMBER(U9),ISNUMBER(E9)),IF(U9&lt;&gt;E9,"사전: FMS 총점≠하위항목 합 ",""),"")&amp;IF(AND(ISNUMBER(V9),ISNUMBER(F9)),IF(V9&lt;&gt;F9,"사후: FMS 총점≠하위항목 합 ",""),"")&amp;IF(ISNUMBER(E9),IF(E9&lt;&gt;INT(E9),"사전 총점 정수 아님 ",""),"")&amp;IF(ISNUMBER(F9),IF(F9&lt;&gt;INT(F9),"사후 총점 정수 아님 ",""),"")&amp;IF(AND(COUNT(G9,I9,K9,M9,O9,Q9,S9)&gt;0,COUNT(G9,I9,K9,M9,O9,Q9,S9)&lt;7),"사전 하위항목 일부 빈칸 ","")&amp;IF(AND(COUNT(H9,J9,L9,N9,P9,R9,T9)&gt;0,COUNT(H9,J9,L9,N9,P9,R9,T9)&lt;7),"사후 하위항목 일부 빈칸 ","")))</f>
        <v/>
      </c>
    </row>
    <row r="10">
      <c r="A10" s="11" t="inlineStr">
        <is>
          <t>E06</t>
        </is>
      </c>
      <c r="B10" s="11" t="n">
        <v>1</v>
      </c>
      <c r="C10" s="12" t="n"/>
      <c r="D10" s="12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4">
        <f>IF(COUNT(G10,I10,K10,M10,O10,Q10,S10)=7,SUM(G10,I10,K10,M10,O10,Q10,S10),"")</f>
        <v/>
      </c>
      <c r="V10" s="14">
        <f>IF(COUNT(H10,J10,L10,N10,P10,R10,T10)=7,SUM(H10,J10,L10,N10,P10,R10,T10),"")</f>
        <v/>
      </c>
      <c r="W10" s="15">
        <f>IF(A10="","",TRIM(IF(AND(ISNUMBER(U10),ISNUMBER(E10)),IF(U10&lt;&gt;E10,"사전: FMS 총점≠하위항목 합 ",""),"")&amp;IF(AND(ISNUMBER(V10),ISNUMBER(F10)),IF(V10&lt;&gt;F10,"사후: FMS 총점≠하위항목 합 ",""),"")&amp;IF(ISNUMBER(E10),IF(E10&lt;&gt;INT(E10),"사전 총점 정수 아님 ",""),"")&amp;IF(ISNUMBER(F10),IF(F10&lt;&gt;INT(F10),"사후 총점 정수 아님 ",""),"")&amp;IF(AND(COUNT(G10,I10,K10,M10,O10,Q10,S10)&gt;0,COUNT(G10,I10,K10,M10,O10,Q10,S10)&lt;7),"사전 하위항목 일부 빈칸 ","")&amp;IF(AND(COUNT(H10,J10,L10,N10,P10,R10,T10)&gt;0,COUNT(H10,J10,L10,N10,P10,R10,T10)&lt;7),"사후 하위항목 일부 빈칸 ","")))</f>
        <v/>
      </c>
    </row>
    <row r="11">
      <c r="A11" s="11" t="inlineStr">
        <is>
          <t>E07</t>
        </is>
      </c>
      <c r="B11" s="11" t="n">
        <v>1</v>
      </c>
      <c r="C11" s="12" t="n"/>
      <c r="D11" s="12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4">
        <f>IF(COUNT(G11,I11,K11,M11,O11,Q11,S11)=7,SUM(G11,I11,K11,M11,O11,Q11,S11),"")</f>
        <v/>
      </c>
      <c r="V11" s="14">
        <f>IF(COUNT(H11,J11,L11,N11,P11,R11,T11)=7,SUM(H11,J11,L11,N11,P11,R11,T11),"")</f>
        <v/>
      </c>
      <c r="W11" s="15">
        <f>IF(A11="","",TRIM(IF(AND(ISNUMBER(U11),ISNUMBER(E11)),IF(U11&lt;&gt;E11,"사전: FMS 총점≠하위항목 합 ",""),"")&amp;IF(AND(ISNUMBER(V11),ISNUMBER(F11)),IF(V11&lt;&gt;F11,"사후: FMS 총점≠하위항목 합 ",""),"")&amp;IF(ISNUMBER(E11),IF(E11&lt;&gt;INT(E11),"사전 총점 정수 아님 ",""),"")&amp;IF(ISNUMBER(F11),IF(F11&lt;&gt;INT(F11),"사후 총점 정수 아님 ",""),"")&amp;IF(AND(COUNT(G11,I11,K11,M11,O11,Q11,S11)&gt;0,COUNT(G11,I11,K11,M11,O11,Q11,S11)&lt;7),"사전 하위항목 일부 빈칸 ","")&amp;IF(AND(COUNT(H11,J11,L11,N11,P11,R11,T11)&gt;0,COUNT(H11,J11,L11,N11,P11,R11,T11)&lt;7),"사후 하위항목 일부 빈칸 ","")))</f>
        <v/>
      </c>
    </row>
    <row r="12">
      <c r="A12" s="11" t="inlineStr">
        <is>
          <t>E08</t>
        </is>
      </c>
      <c r="B12" s="11" t="n">
        <v>1</v>
      </c>
      <c r="C12" s="12" t="n"/>
      <c r="D12" s="12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4">
        <f>IF(COUNT(G12,I12,K12,M12,O12,Q12,S12)=7,SUM(G12,I12,K12,M12,O12,Q12,S12),"")</f>
        <v/>
      </c>
      <c r="V12" s="14">
        <f>IF(COUNT(H12,J12,L12,N12,P12,R12,T12)=7,SUM(H12,J12,L12,N12,P12,R12,T12),"")</f>
        <v/>
      </c>
      <c r="W12" s="15">
        <f>IF(A12="","",TRIM(IF(AND(ISNUMBER(U12),ISNUMBER(E12)),IF(U12&lt;&gt;E12,"사전: FMS 총점≠하위항목 합 ",""),"")&amp;IF(AND(ISNUMBER(V12),ISNUMBER(F12)),IF(V12&lt;&gt;F12,"사후: FMS 총점≠하위항목 합 ",""),"")&amp;IF(ISNUMBER(E12),IF(E12&lt;&gt;INT(E12),"사전 총점 정수 아님 ",""),"")&amp;IF(ISNUMBER(F12),IF(F12&lt;&gt;INT(F12),"사후 총점 정수 아님 ",""),"")&amp;IF(AND(COUNT(G12,I12,K12,M12,O12,Q12,S12)&gt;0,COUNT(G12,I12,K12,M12,O12,Q12,S12)&lt;7),"사전 하위항목 일부 빈칸 ","")&amp;IF(AND(COUNT(H12,J12,L12,N12,P12,R12,T12)&gt;0,COUNT(H12,J12,L12,N12,P12,R12,T12)&lt;7),"사후 하위항목 일부 빈칸 ","")))</f>
        <v/>
      </c>
    </row>
    <row r="13">
      <c r="A13" s="11" t="inlineStr">
        <is>
          <t>E09</t>
        </is>
      </c>
      <c r="B13" s="11" t="n">
        <v>1</v>
      </c>
      <c r="C13" s="12" t="n"/>
      <c r="D13" s="12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4">
        <f>IF(COUNT(G13,I13,K13,M13,O13,Q13,S13)=7,SUM(G13,I13,K13,M13,O13,Q13,S13),"")</f>
        <v/>
      </c>
      <c r="V13" s="14">
        <f>IF(COUNT(H13,J13,L13,N13,P13,R13,T13)=7,SUM(H13,J13,L13,N13,P13,R13,T13),"")</f>
        <v/>
      </c>
      <c r="W13" s="15">
        <f>IF(A13="","",TRIM(IF(AND(ISNUMBER(U13),ISNUMBER(E13)),IF(U13&lt;&gt;E13,"사전: FMS 총점≠하위항목 합 ",""),"")&amp;IF(AND(ISNUMBER(V13),ISNUMBER(F13)),IF(V13&lt;&gt;F13,"사후: FMS 총점≠하위항목 합 ",""),"")&amp;IF(ISNUMBER(E13),IF(E13&lt;&gt;INT(E13),"사전 총점 정수 아님 ",""),"")&amp;IF(ISNUMBER(F13),IF(F13&lt;&gt;INT(F13),"사후 총점 정수 아님 ",""),"")&amp;IF(AND(COUNT(G13,I13,K13,M13,O13,Q13,S13)&gt;0,COUNT(G13,I13,K13,M13,O13,Q13,S13)&lt;7),"사전 하위항목 일부 빈칸 ","")&amp;IF(AND(COUNT(H13,J13,L13,N13,P13,R13,T13)&gt;0,COUNT(H13,J13,L13,N13,P13,R13,T13)&lt;7),"사후 하위항목 일부 빈칸 ","")))</f>
        <v/>
      </c>
    </row>
    <row r="14">
      <c r="A14" s="11" t="inlineStr">
        <is>
          <t>E10</t>
        </is>
      </c>
      <c r="B14" s="11" t="n">
        <v>1</v>
      </c>
      <c r="C14" s="12" t="n"/>
      <c r="D14" s="12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4">
        <f>IF(COUNT(G14,I14,K14,M14,O14,Q14,S14)=7,SUM(G14,I14,K14,M14,O14,Q14,S14),"")</f>
        <v/>
      </c>
      <c r="V14" s="14">
        <f>IF(COUNT(H14,J14,L14,N14,P14,R14,T14)=7,SUM(H14,J14,L14,N14,P14,R14,T14),"")</f>
        <v/>
      </c>
      <c r="W14" s="15">
        <f>IF(A14="","",TRIM(IF(AND(ISNUMBER(U14),ISNUMBER(E14)),IF(U14&lt;&gt;E14,"사전: FMS 총점≠하위항목 합 ",""),"")&amp;IF(AND(ISNUMBER(V14),ISNUMBER(F14)),IF(V14&lt;&gt;F14,"사후: FMS 총점≠하위항목 합 ",""),"")&amp;IF(ISNUMBER(E14),IF(E14&lt;&gt;INT(E14),"사전 총점 정수 아님 ",""),"")&amp;IF(ISNUMBER(F14),IF(F14&lt;&gt;INT(F14),"사후 총점 정수 아님 ",""),"")&amp;IF(AND(COUNT(G14,I14,K14,M14,O14,Q14,S14)&gt;0,COUNT(G14,I14,K14,M14,O14,Q14,S14)&lt;7),"사전 하위항목 일부 빈칸 ","")&amp;IF(AND(COUNT(H14,J14,L14,N14,P14,R14,T14)&gt;0,COUNT(H14,J14,L14,N14,P14,R14,T14)&lt;7),"사후 하위항목 일부 빈칸 ","")))</f>
        <v/>
      </c>
    </row>
    <row r="15">
      <c r="A15" s="11" t="inlineStr">
        <is>
          <t>E11</t>
        </is>
      </c>
      <c r="B15" s="11" t="n">
        <v>1</v>
      </c>
      <c r="C15" s="12" t="n"/>
      <c r="D15" s="12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4">
        <f>IF(COUNT(G15,I15,K15,M15,O15,Q15,S15)=7,SUM(G15,I15,K15,M15,O15,Q15,S15),"")</f>
        <v/>
      </c>
      <c r="V15" s="14">
        <f>IF(COUNT(H15,J15,L15,N15,P15,R15,T15)=7,SUM(H15,J15,L15,N15,P15,R15,T15),"")</f>
        <v/>
      </c>
      <c r="W15" s="15">
        <f>IF(A15="","",TRIM(IF(AND(ISNUMBER(U15),ISNUMBER(E15)),IF(U15&lt;&gt;E15,"사전: FMS 총점≠하위항목 합 ",""),"")&amp;IF(AND(ISNUMBER(V15),ISNUMBER(F15)),IF(V15&lt;&gt;F15,"사후: FMS 총점≠하위항목 합 ",""),"")&amp;IF(ISNUMBER(E15),IF(E15&lt;&gt;INT(E15),"사전 총점 정수 아님 ",""),"")&amp;IF(ISNUMBER(F15),IF(F15&lt;&gt;INT(F15),"사후 총점 정수 아님 ",""),"")&amp;IF(AND(COUNT(G15,I15,K15,M15,O15,Q15,S15)&gt;0,COUNT(G15,I15,K15,M15,O15,Q15,S15)&lt;7),"사전 하위항목 일부 빈칸 ","")&amp;IF(AND(COUNT(H15,J15,L15,N15,P15,R15,T15)&gt;0,COUNT(H15,J15,L15,N15,P15,R15,T15)&lt;7),"사후 하위항목 일부 빈칸 ","")))</f>
        <v/>
      </c>
    </row>
    <row r="16">
      <c r="A16" s="11" t="inlineStr">
        <is>
          <t>E12</t>
        </is>
      </c>
      <c r="B16" s="11" t="n">
        <v>1</v>
      </c>
      <c r="C16" s="12" t="n"/>
      <c r="D16" s="12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4">
        <f>IF(COUNT(G16,I16,K16,M16,O16,Q16,S16)=7,SUM(G16,I16,K16,M16,O16,Q16,S16),"")</f>
        <v/>
      </c>
      <c r="V16" s="14">
        <f>IF(COUNT(H16,J16,L16,N16,P16,R16,T16)=7,SUM(H16,J16,L16,N16,P16,R16,T16),"")</f>
        <v/>
      </c>
      <c r="W16" s="15">
        <f>IF(A16="","",TRIM(IF(AND(ISNUMBER(U16),ISNUMBER(E16)),IF(U16&lt;&gt;E16,"사전: FMS 총점≠하위항목 합 ",""),"")&amp;IF(AND(ISNUMBER(V16),ISNUMBER(F16)),IF(V16&lt;&gt;F16,"사후: FMS 총점≠하위항목 합 ",""),"")&amp;IF(ISNUMBER(E16),IF(E16&lt;&gt;INT(E16),"사전 총점 정수 아님 ",""),"")&amp;IF(ISNUMBER(F16),IF(F16&lt;&gt;INT(F16),"사후 총점 정수 아님 ",""),"")&amp;IF(AND(COUNT(G16,I16,K16,M16,O16,Q16,S16)&gt;0,COUNT(G16,I16,K16,M16,O16,Q16,S16)&lt;7),"사전 하위항목 일부 빈칸 ","")&amp;IF(AND(COUNT(H16,J16,L16,N16,P16,R16,T16)&gt;0,COUNT(H16,J16,L16,N16,P16,R16,T16)&lt;7),"사후 하위항목 일부 빈칸 ","")))</f>
        <v/>
      </c>
    </row>
    <row r="17">
      <c r="A17" s="11" t="inlineStr">
        <is>
          <t>E13</t>
        </is>
      </c>
      <c r="B17" s="11" t="n">
        <v>1</v>
      </c>
      <c r="C17" s="12" t="n"/>
      <c r="D17" s="12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4">
        <f>IF(COUNT(G17,I17,K17,M17,O17,Q17,S17)=7,SUM(G17,I17,K17,M17,O17,Q17,S17),"")</f>
        <v/>
      </c>
      <c r="V17" s="14">
        <f>IF(COUNT(H17,J17,L17,N17,P17,R17,T17)=7,SUM(H17,J17,L17,N17,P17,R17,T17),"")</f>
        <v/>
      </c>
      <c r="W17" s="15">
        <f>IF(A17="","",TRIM(IF(AND(ISNUMBER(U17),ISNUMBER(E17)),IF(U17&lt;&gt;E17,"사전: FMS 총점≠하위항목 합 ",""),"")&amp;IF(AND(ISNUMBER(V17),ISNUMBER(F17)),IF(V17&lt;&gt;F17,"사후: FMS 총점≠하위항목 합 ",""),"")&amp;IF(ISNUMBER(E17),IF(E17&lt;&gt;INT(E17),"사전 총점 정수 아님 ",""),"")&amp;IF(ISNUMBER(F17),IF(F17&lt;&gt;INT(F17),"사후 총점 정수 아님 ",""),"")&amp;IF(AND(COUNT(G17,I17,K17,M17,O17,Q17,S17)&gt;0,COUNT(G17,I17,K17,M17,O17,Q17,S17)&lt;7),"사전 하위항목 일부 빈칸 ","")&amp;IF(AND(COUNT(H17,J17,L17,N17,P17,R17,T17)&gt;0,COUNT(H17,J17,L17,N17,P17,R17,T17)&lt;7),"사후 하위항목 일부 빈칸 ","")))</f>
        <v/>
      </c>
    </row>
    <row r="18">
      <c r="A18" s="11" t="inlineStr">
        <is>
          <t>C01</t>
        </is>
      </c>
      <c r="B18" s="11" t="n">
        <v>2</v>
      </c>
      <c r="C18" s="12" t="n"/>
      <c r="D18" s="12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4">
        <f>IF(COUNT(G18,I18,K18,M18,O18,Q18,S18)=7,SUM(G18,I18,K18,M18,O18,Q18,S18),"")</f>
        <v/>
      </c>
      <c r="V18" s="14">
        <f>IF(COUNT(H18,J18,L18,N18,P18,R18,T18)=7,SUM(H18,J18,L18,N18,P18,R18,T18),"")</f>
        <v/>
      </c>
      <c r="W18" s="15">
        <f>IF(A18="","",TRIM(IF(AND(ISNUMBER(U18),ISNUMBER(E18)),IF(U18&lt;&gt;E18,"사전: FMS 총점≠하위항목 합 ",""),"")&amp;IF(AND(ISNUMBER(V18),ISNUMBER(F18)),IF(V18&lt;&gt;F18,"사후: FMS 총점≠하위항목 합 ",""),"")&amp;IF(ISNUMBER(E18),IF(E18&lt;&gt;INT(E18),"사전 총점 정수 아님 ",""),"")&amp;IF(ISNUMBER(F18),IF(F18&lt;&gt;INT(F18),"사후 총점 정수 아님 ",""),"")&amp;IF(AND(COUNT(G18,I18,K18,M18,O18,Q18,S18)&gt;0,COUNT(G18,I18,K18,M18,O18,Q18,S18)&lt;7),"사전 하위항목 일부 빈칸 ","")&amp;IF(AND(COUNT(H18,J18,L18,N18,P18,R18,T18)&gt;0,COUNT(H18,J18,L18,N18,P18,R18,T18)&lt;7),"사후 하위항목 일부 빈칸 ","")))</f>
        <v/>
      </c>
    </row>
    <row r="19">
      <c r="A19" s="11" t="inlineStr">
        <is>
          <t>C02</t>
        </is>
      </c>
      <c r="B19" s="11" t="n">
        <v>2</v>
      </c>
      <c r="C19" s="12" t="n"/>
      <c r="D19" s="12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4">
        <f>IF(COUNT(G19,I19,K19,M19,O19,Q19,S19)=7,SUM(G19,I19,K19,M19,O19,Q19,S19),"")</f>
        <v/>
      </c>
      <c r="V19" s="14">
        <f>IF(COUNT(H19,J19,L19,N19,P19,R19,T19)=7,SUM(H19,J19,L19,N19,P19,R19,T19),"")</f>
        <v/>
      </c>
      <c r="W19" s="15">
        <f>IF(A19="","",TRIM(IF(AND(ISNUMBER(U19),ISNUMBER(E19)),IF(U19&lt;&gt;E19,"사전: FMS 총점≠하위항목 합 ",""),"")&amp;IF(AND(ISNUMBER(V19),ISNUMBER(F19)),IF(V19&lt;&gt;F19,"사후: FMS 총점≠하위항목 합 ",""),"")&amp;IF(ISNUMBER(E19),IF(E19&lt;&gt;INT(E19),"사전 총점 정수 아님 ",""),"")&amp;IF(ISNUMBER(F19),IF(F19&lt;&gt;INT(F19),"사후 총점 정수 아님 ",""),"")&amp;IF(AND(COUNT(G19,I19,K19,M19,O19,Q19,S19)&gt;0,COUNT(G19,I19,K19,M19,O19,Q19,S19)&lt;7),"사전 하위항목 일부 빈칸 ","")&amp;IF(AND(COUNT(H19,J19,L19,N19,P19,R19,T19)&gt;0,COUNT(H19,J19,L19,N19,P19,R19,T19)&lt;7),"사후 하위항목 일부 빈칸 ","")))</f>
        <v/>
      </c>
    </row>
    <row r="20">
      <c r="A20" s="11" t="inlineStr">
        <is>
          <t>C03</t>
        </is>
      </c>
      <c r="B20" s="11" t="n">
        <v>2</v>
      </c>
      <c r="C20" s="12" t="n"/>
      <c r="D20" s="12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4">
        <f>IF(COUNT(G20,I20,K20,M20,O20,Q20,S20)=7,SUM(G20,I20,K20,M20,O20,Q20,S20),"")</f>
        <v/>
      </c>
      <c r="V20" s="14">
        <f>IF(COUNT(H20,J20,L20,N20,P20,R20,T20)=7,SUM(H20,J20,L20,N20,P20,R20,T20),"")</f>
        <v/>
      </c>
      <c r="W20" s="15">
        <f>IF(A20="","",TRIM(IF(AND(ISNUMBER(U20),ISNUMBER(E20)),IF(U20&lt;&gt;E20,"사전: FMS 총점≠하위항목 합 ",""),"")&amp;IF(AND(ISNUMBER(V20),ISNUMBER(F20)),IF(V20&lt;&gt;F20,"사후: FMS 총점≠하위항목 합 ",""),"")&amp;IF(ISNUMBER(E20),IF(E20&lt;&gt;INT(E20),"사전 총점 정수 아님 ",""),"")&amp;IF(ISNUMBER(F20),IF(F20&lt;&gt;INT(F20),"사후 총점 정수 아님 ",""),"")&amp;IF(AND(COUNT(G20,I20,K20,M20,O20,Q20,S20)&gt;0,COUNT(G20,I20,K20,M20,O20,Q20,S20)&lt;7),"사전 하위항목 일부 빈칸 ","")&amp;IF(AND(COUNT(H20,J20,L20,N20,P20,R20,T20)&gt;0,COUNT(H20,J20,L20,N20,P20,R20,T20)&lt;7),"사후 하위항목 일부 빈칸 ","")))</f>
        <v/>
      </c>
    </row>
    <row r="21">
      <c r="A21" s="11" t="inlineStr">
        <is>
          <t>C04</t>
        </is>
      </c>
      <c r="B21" s="11" t="n">
        <v>2</v>
      </c>
      <c r="C21" s="12" t="n"/>
      <c r="D21" s="12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4">
        <f>IF(COUNT(G21,I21,K21,M21,O21,Q21,S21)=7,SUM(G21,I21,K21,M21,O21,Q21,S21),"")</f>
        <v/>
      </c>
      <c r="V21" s="14">
        <f>IF(COUNT(H21,J21,L21,N21,P21,R21,T21)=7,SUM(H21,J21,L21,N21,P21,R21,T21),"")</f>
        <v/>
      </c>
      <c r="W21" s="15">
        <f>IF(A21="","",TRIM(IF(AND(ISNUMBER(U21),ISNUMBER(E21)),IF(U21&lt;&gt;E21,"사전: FMS 총점≠하위항목 합 ",""),"")&amp;IF(AND(ISNUMBER(V21),ISNUMBER(F21)),IF(V21&lt;&gt;F21,"사후: FMS 총점≠하위항목 합 ",""),"")&amp;IF(ISNUMBER(E21),IF(E21&lt;&gt;INT(E21),"사전 총점 정수 아님 ",""),"")&amp;IF(ISNUMBER(F21),IF(F21&lt;&gt;INT(F21),"사후 총점 정수 아님 ",""),"")&amp;IF(AND(COUNT(G21,I21,K21,M21,O21,Q21,S21)&gt;0,COUNT(G21,I21,K21,M21,O21,Q21,S21)&lt;7),"사전 하위항목 일부 빈칸 ","")&amp;IF(AND(COUNT(H21,J21,L21,N21,P21,R21,T21)&gt;0,COUNT(H21,J21,L21,N21,P21,R21,T21)&lt;7),"사후 하위항목 일부 빈칸 ","")))</f>
        <v/>
      </c>
    </row>
    <row r="22">
      <c r="A22" s="11" t="inlineStr">
        <is>
          <t>C05</t>
        </is>
      </c>
      <c r="B22" s="11" t="n">
        <v>2</v>
      </c>
      <c r="C22" s="12" t="n"/>
      <c r="D22" s="12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4">
        <f>IF(COUNT(G22,I22,K22,M22,O22,Q22,S22)=7,SUM(G22,I22,K22,M22,O22,Q22,S22),"")</f>
        <v/>
      </c>
      <c r="V22" s="14">
        <f>IF(COUNT(H22,J22,L22,N22,P22,R22,T22)=7,SUM(H22,J22,L22,N22,P22,R22,T22),"")</f>
        <v/>
      </c>
      <c r="W22" s="15">
        <f>IF(A22="","",TRIM(IF(AND(ISNUMBER(U22),ISNUMBER(E22)),IF(U22&lt;&gt;E22,"사전: FMS 총점≠하위항목 합 ",""),"")&amp;IF(AND(ISNUMBER(V22),ISNUMBER(F22)),IF(V22&lt;&gt;F22,"사후: FMS 총점≠하위항목 합 ",""),"")&amp;IF(ISNUMBER(E22),IF(E22&lt;&gt;INT(E22),"사전 총점 정수 아님 ",""),"")&amp;IF(ISNUMBER(F22),IF(F22&lt;&gt;INT(F22),"사후 총점 정수 아님 ",""),"")&amp;IF(AND(COUNT(G22,I22,K22,M22,O22,Q22,S22)&gt;0,COUNT(G22,I22,K22,M22,O22,Q22,S22)&lt;7),"사전 하위항목 일부 빈칸 ","")&amp;IF(AND(COUNT(H22,J22,L22,N22,P22,R22,T22)&gt;0,COUNT(H22,J22,L22,N22,P22,R22,T22)&lt;7),"사후 하위항목 일부 빈칸 ","")))</f>
        <v/>
      </c>
    </row>
    <row r="23">
      <c r="A23" s="11" t="inlineStr">
        <is>
          <t>C06</t>
        </is>
      </c>
      <c r="B23" s="11" t="n">
        <v>2</v>
      </c>
      <c r="C23" s="12" t="n"/>
      <c r="D23" s="12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4">
        <f>IF(COUNT(G23,I23,K23,M23,O23,Q23,S23)=7,SUM(G23,I23,K23,M23,O23,Q23,S23),"")</f>
        <v/>
      </c>
      <c r="V23" s="14">
        <f>IF(COUNT(H23,J23,L23,N23,P23,R23,T23)=7,SUM(H23,J23,L23,N23,P23,R23,T23),"")</f>
        <v/>
      </c>
      <c r="W23" s="15">
        <f>IF(A23="","",TRIM(IF(AND(ISNUMBER(U23),ISNUMBER(E23)),IF(U23&lt;&gt;E23,"사전: FMS 총점≠하위항목 합 ",""),"")&amp;IF(AND(ISNUMBER(V23),ISNUMBER(F23)),IF(V23&lt;&gt;F23,"사후: FMS 총점≠하위항목 합 ",""),"")&amp;IF(ISNUMBER(E23),IF(E23&lt;&gt;INT(E23),"사전 총점 정수 아님 ",""),"")&amp;IF(ISNUMBER(F23),IF(F23&lt;&gt;INT(F23),"사후 총점 정수 아님 ",""),"")&amp;IF(AND(COUNT(G23,I23,K23,M23,O23,Q23,S23)&gt;0,COUNT(G23,I23,K23,M23,O23,Q23,S23)&lt;7),"사전 하위항목 일부 빈칸 ","")&amp;IF(AND(COUNT(H23,J23,L23,N23,P23,R23,T23)&gt;0,COUNT(H23,J23,L23,N23,P23,R23,T23)&lt;7),"사후 하위항목 일부 빈칸 ","")))</f>
        <v/>
      </c>
    </row>
    <row r="24">
      <c r="A24" s="11" t="inlineStr">
        <is>
          <t>C07</t>
        </is>
      </c>
      <c r="B24" s="11" t="n">
        <v>2</v>
      </c>
      <c r="C24" s="12" t="n"/>
      <c r="D24" s="12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4">
        <f>IF(COUNT(G24,I24,K24,M24,O24,Q24,S24)=7,SUM(G24,I24,K24,M24,O24,Q24,S24),"")</f>
        <v/>
      </c>
      <c r="V24" s="14">
        <f>IF(COUNT(H24,J24,L24,N24,P24,R24,T24)=7,SUM(H24,J24,L24,N24,P24,R24,T24),"")</f>
        <v/>
      </c>
      <c r="W24" s="15">
        <f>IF(A24="","",TRIM(IF(AND(ISNUMBER(U24),ISNUMBER(E24)),IF(U24&lt;&gt;E24,"사전: FMS 총점≠하위항목 합 ",""),"")&amp;IF(AND(ISNUMBER(V24),ISNUMBER(F24)),IF(V24&lt;&gt;F24,"사후: FMS 총점≠하위항목 합 ",""),"")&amp;IF(ISNUMBER(E24),IF(E24&lt;&gt;INT(E24),"사전 총점 정수 아님 ",""),"")&amp;IF(ISNUMBER(F24),IF(F24&lt;&gt;INT(F24),"사후 총점 정수 아님 ",""),"")&amp;IF(AND(COUNT(G24,I24,K24,M24,O24,Q24,S24)&gt;0,COUNT(G24,I24,K24,M24,O24,Q24,S24)&lt;7),"사전 하위항목 일부 빈칸 ","")&amp;IF(AND(COUNT(H24,J24,L24,N24,P24,R24,T24)&gt;0,COUNT(H24,J24,L24,N24,P24,R24,T24)&lt;7),"사후 하위항목 일부 빈칸 ","")))</f>
        <v/>
      </c>
    </row>
    <row r="25">
      <c r="A25" s="11" t="inlineStr">
        <is>
          <t>C08</t>
        </is>
      </c>
      <c r="B25" s="11" t="n">
        <v>2</v>
      </c>
      <c r="C25" s="12" t="n"/>
      <c r="D25" s="12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4">
        <f>IF(COUNT(G25,I25,K25,M25,O25,Q25,S25)=7,SUM(G25,I25,K25,M25,O25,Q25,S25),"")</f>
        <v/>
      </c>
      <c r="V25" s="14">
        <f>IF(COUNT(H25,J25,L25,N25,P25,R25,T25)=7,SUM(H25,J25,L25,N25,P25,R25,T25),"")</f>
        <v/>
      </c>
      <c r="W25" s="15">
        <f>IF(A25="","",TRIM(IF(AND(ISNUMBER(U25),ISNUMBER(E25)),IF(U25&lt;&gt;E25,"사전: FMS 총점≠하위항목 합 ",""),"")&amp;IF(AND(ISNUMBER(V25),ISNUMBER(F25)),IF(V25&lt;&gt;F25,"사후: FMS 총점≠하위항목 합 ",""),"")&amp;IF(ISNUMBER(E25),IF(E25&lt;&gt;INT(E25),"사전 총점 정수 아님 ",""),"")&amp;IF(ISNUMBER(F25),IF(F25&lt;&gt;INT(F25),"사후 총점 정수 아님 ",""),"")&amp;IF(AND(COUNT(G25,I25,K25,M25,O25,Q25,S25)&gt;0,COUNT(G25,I25,K25,M25,O25,Q25,S25)&lt;7),"사전 하위항목 일부 빈칸 ","")&amp;IF(AND(COUNT(H25,J25,L25,N25,P25,R25,T25)&gt;0,COUNT(H25,J25,L25,N25,P25,R25,T25)&lt;7),"사후 하위항목 일부 빈칸 ","")))</f>
        <v/>
      </c>
    </row>
    <row r="26">
      <c r="A26" s="11" t="inlineStr">
        <is>
          <t>C09</t>
        </is>
      </c>
      <c r="B26" s="11" t="n">
        <v>2</v>
      </c>
      <c r="C26" s="12" t="n"/>
      <c r="D26" s="12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4">
        <f>IF(COUNT(G26,I26,K26,M26,O26,Q26,S26)=7,SUM(G26,I26,K26,M26,O26,Q26,S26),"")</f>
        <v/>
      </c>
      <c r="V26" s="14">
        <f>IF(COUNT(H26,J26,L26,N26,P26,R26,T26)=7,SUM(H26,J26,L26,N26,P26,R26,T26),"")</f>
        <v/>
      </c>
      <c r="W26" s="15">
        <f>IF(A26="","",TRIM(IF(AND(ISNUMBER(U26),ISNUMBER(E26)),IF(U26&lt;&gt;E26,"사전: FMS 총점≠하위항목 합 ",""),"")&amp;IF(AND(ISNUMBER(V26),ISNUMBER(F26)),IF(V26&lt;&gt;F26,"사후: FMS 총점≠하위항목 합 ",""),"")&amp;IF(ISNUMBER(E26),IF(E26&lt;&gt;INT(E26),"사전 총점 정수 아님 ",""),"")&amp;IF(ISNUMBER(F26),IF(F26&lt;&gt;INT(F26),"사후 총점 정수 아님 ",""),"")&amp;IF(AND(COUNT(G26,I26,K26,M26,O26,Q26,S26)&gt;0,COUNT(G26,I26,K26,M26,O26,Q26,S26)&lt;7),"사전 하위항목 일부 빈칸 ","")&amp;IF(AND(COUNT(H26,J26,L26,N26,P26,R26,T26)&gt;0,COUNT(H26,J26,L26,N26,P26,R26,T26)&lt;7),"사후 하위항목 일부 빈칸 ","")))</f>
        <v/>
      </c>
    </row>
    <row r="27">
      <c r="A27" s="11" t="inlineStr">
        <is>
          <t>C10</t>
        </is>
      </c>
      <c r="B27" s="11" t="n">
        <v>2</v>
      </c>
      <c r="C27" s="12" t="n"/>
      <c r="D27" s="12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4">
        <f>IF(COUNT(G27,I27,K27,M27,O27,Q27,S27)=7,SUM(G27,I27,K27,M27,O27,Q27,S27),"")</f>
        <v/>
      </c>
      <c r="V27" s="14">
        <f>IF(COUNT(H27,J27,L27,N27,P27,R27,T27)=7,SUM(H27,J27,L27,N27,P27,R27,T27),"")</f>
        <v/>
      </c>
      <c r="W27" s="15">
        <f>IF(A27="","",TRIM(IF(AND(ISNUMBER(U27),ISNUMBER(E27)),IF(U27&lt;&gt;E27,"사전: FMS 총점≠하위항목 합 ",""),"")&amp;IF(AND(ISNUMBER(V27),ISNUMBER(F27)),IF(V27&lt;&gt;F27,"사후: FMS 총점≠하위항목 합 ",""),"")&amp;IF(ISNUMBER(E27),IF(E27&lt;&gt;INT(E27),"사전 총점 정수 아님 ",""),"")&amp;IF(ISNUMBER(F27),IF(F27&lt;&gt;INT(F27),"사후 총점 정수 아님 ",""),"")&amp;IF(AND(COUNT(G27,I27,K27,M27,O27,Q27,S27)&gt;0,COUNT(G27,I27,K27,M27,O27,Q27,S27)&lt;7),"사전 하위항목 일부 빈칸 ","")&amp;IF(AND(COUNT(H27,J27,L27,N27,P27,R27,T27)&gt;0,COUNT(H27,J27,L27,N27,P27,R27,T27)&lt;7),"사후 하위항목 일부 빈칸 ","")))</f>
        <v/>
      </c>
    </row>
    <row r="28">
      <c r="A28" s="11" t="inlineStr">
        <is>
          <t>C11</t>
        </is>
      </c>
      <c r="B28" s="11" t="n">
        <v>2</v>
      </c>
      <c r="C28" s="12" t="n"/>
      <c r="D28" s="12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4">
        <f>IF(COUNT(G28,I28,K28,M28,O28,Q28,S28)=7,SUM(G28,I28,K28,M28,O28,Q28,S28),"")</f>
        <v/>
      </c>
      <c r="V28" s="14">
        <f>IF(COUNT(H28,J28,L28,N28,P28,R28,T28)=7,SUM(H28,J28,L28,N28,P28,R28,T28),"")</f>
        <v/>
      </c>
      <c r="W28" s="15">
        <f>IF(A28="","",TRIM(IF(AND(ISNUMBER(U28),ISNUMBER(E28)),IF(U28&lt;&gt;E28,"사전: FMS 총점≠하위항목 합 ",""),"")&amp;IF(AND(ISNUMBER(V28),ISNUMBER(F28)),IF(V28&lt;&gt;F28,"사후: FMS 총점≠하위항목 합 ",""),"")&amp;IF(ISNUMBER(E28),IF(E28&lt;&gt;INT(E28),"사전 총점 정수 아님 ",""),"")&amp;IF(ISNUMBER(F28),IF(F28&lt;&gt;INT(F28),"사후 총점 정수 아님 ",""),"")&amp;IF(AND(COUNT(G28,I28,K28,M28,O28,Q28,S28)&gt;0,COUNT(G28,I28,K28,M28,O28,Q28,S28)&lt;7),"사전 하위항목 일부 빈칸 ","")&amp;IF(AND(COUNT(H28,J28,L28,N28,P28,R28,T28)&gt;0,COUNT(H28,J28,L28,N28,P28,R28,T28)&lt;7),"사후 하위항목 일부 빈칸 ","")))</f>
        <v/>
      </c>
    </row>
    <row r="29">
      <c r="A29" s="11" t="inlineStr">
        <is>
          <t>C12</t>
        </is>
      </c>
      <c r="B29" s="11" t="n">
        <v>2</v>
      </c>
      <c r="C29" s="12" t="n"/>
      <c r="D29" s="12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4">
        <f>IF(COUNT(G29,I29,K29,M29,O29,Q29,S29)=7,SUM(G29,I29,K29,M29,O29,Q29,S29),"")</f>
        <v/>
      </c>
      <c r="V29" s="14">
        <f>IF(COUNT(H29,J29,L29,N29,P29,R29,T29)=7,SUM(H29,J29,L29,N29,P29,R29,T29),"")</f>
        <v/>
      </c>
      <c r="W29" s="15">
        <f>IF(A29="","",TRIM(IF(AND(ISNUMBER(U29),ISNUMBER(E29)),IF(U29&lt;&gt;E29,"사전: FMS 총점≠하위항목 합 ",""),"")&amp;IF(AND(ISNUMBER(V29),ISNUMBER(F29)),IF(V29&lt;&gt;F29,"사후: FMS 총점≠하위항목 합 ",""),"")&amp;IF(ISNUMBER(E29),IF(E29&lt;&gt;INT(E29),"사전 총점 정수 아님 ",""),"")&amp;IF(ISNUMBER(F29),IF(F29&lt;&gt;INT(F29),"사후 총점 정수 아님 ",""),"")&amp;IF(AND(COUNT(G29,I29,K29,M29,O29,Q29,S29)&gt;0,COUNT(G29,I29,K29,M29,O29,Q29,S29)&lt;7),"사전 하위항목 일부 빈칸 ","")&amp;IF(AND(COUNT(H29,J29,L29,N29,P29,R29,T29)&gt;0,COUNT(H29,J29,L29,N29,P29,R29,T29)&lt;7),"사후 하위항목 일부 빈칸 ","")))</f>
        <v/>
      </c>
    </row>
    <row r="30">
      <c r="A30" s="11" t="n"/>
      <c r="B30" s="11" t="n"/>
      <c r="C30" s="12" t="n"/>
      <c r="D30" s="12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4">
        <f>IF(COUNT(G30,I30,K30,M30,O30,Q30,S30)=7,SUM(G30,I30,K30,M30,O30,Q30,S30),"")</f>
        <v/>
      </c>
      <c r="V30" s="14">
        <f>IF(COUNT(H30,J30,L30,N30,P30,R30,T30)=7,SUM(H30,J30,L30,N30,P30,R30,T30),"")</f>
        <v/>
      </c>
      <c r="W30" s="15">
        <f>IF(A30="","",TRIM(IF(AND(ISNUMBER(U30),ISNUMBER(E30)),IF(U30&lt;&gt;E30,"사전: FMS 총점≠하위항목 합 ",""),"")&amp;IF(AND(ISNUMBER(V30),ISNUMBER(F30)),IF(V30&lt;&gt;F30,"사후: FMS 총점≠하위항목 합 ",""),"")&amp;IF(ISNUMBER(E30),IF(E30&lt;&gt;INT(E30),"사전 총점 정수 아님 ",""),"")&amp;IF(ISNUMBER(F30),IF(F30&lt;&gt;INT(F30),"사후 총점 정수 아님 ",""),"")&amp;IF(AND(COUNT(G30,I30,K30,M30,O30,Q30,S30)&gt;0,COUNT(G30,I30,K30,M30,O30,Q30,S30)&lt;7),"사전 하위항목 일부 빈칸 ","")&amp;IF(AND(COUNT(H30,J30,L30,N30,P30,R30,T30)&gt;0,COUNT(H30,J30,L30,N30,P30,R30,T30)&lt;7),"사후 하위항목 일부 빈칸 ","")))</f>
        <v/>
      </c>
    </row>
    <row r="31">
      <c r="A31" s="11" t="n"/>
      <c r="B31" s="11" t="n"/>
      <c r="C31" s="12" t="n"/>
      <c r="D31" s="12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4">
        <f>IF(COUNT(G31,I31,K31,M31,O31,Q31,S31)=7,SUM(G31,I31,K31,M31,O31,Q31,S31),"")</f>
        <v/>
      </c>
      <c r="V31" s="14">
        <f>IF(COUNT(H31,J31,L31,N31,P31,R31,T31)=7,SUM(H31,J31,L31,N31,P31,R31,T31),"")</f>
        <v/>
      </c>
      <c r="W31" s="15">
        <f>IF(A31="","",TRIM(IF(AND(ISNUMBER(U31),ISNUMBER(E31)),IF(U31&lt;&gt;E31,"사전: FMS 총점≠하위항목 합 ",""),"")&amp;IF(AND(ISNUMBER(V31),ISNUMBER(F31)),IF(V31&lt;&gt;F31,"사후: FMS 총점≠하위항목 합 ",""),"")&amp;IF(ISNUMBER(E31),IF(E31&lt;&gt;INT(E31),"사전 총점 정수 아님 ",""),"")&amp;IF(ISNUMBER(F31),IF(F31&lt;&gt;INT(F31),"사후 총점 정수 아님 ",""),"")&amp;IF(AND(COUNT(G31,I31,K31,M31,O31,Q31,S31)&gt;0,COUNT(G31,I31,K31,M31,O31,Q31,S31)&lt;7),"사전 하위항목 일부 빈칸 ","")&amp;IF(AND(COUNT(H31,J31,L31,N31,P31,R31,T31)&gt;0,COUNT(H31,J31,L31,N31,P31,R31,T31)&lt;7),"사후 하위항목 일부 빈칸 ","")))</f>
        <v/>
      </c>
    </row>
    <row r="32">
      <c r="A32" s="11" t="n"/>
      <c r="B32" s="11" t="n"/>
      <c r="C32" s="12" t="n"/>
      <c r="D32" s="12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4">
        <f>IF(COUNT(G32,I32,K32,M32,O32,Q32,S32)=7,SUM(G32,I32,K32,M32,O32,Q32,S32),"")</f>
        <v/>
      </c>
      <c r="V32" s="14">
        <f>IF(COUNT(H32,J32,L32,N32,P32,R32,T32)=7,SUM(H32,J32,L32,N32,P32,R32,T32),"")</f>
        <v/>
      </c>
      <c r="W32" s="15">
        <f>IF(A32="","",TRIM(IF(AND(ISNUMBER(U32),ISNUMBER(E32)),IF(U32&lt;&gt;E32,"사전: FMS 총점≠하위항목 합 ",""),"")&amp;IF(AND(ISNUMBER(V32),ISNUMBER(F32)),IF(V32&lt;&gt;F32,"사후: FMS 총점≠하위항목 합 ",""),"")&amp;IF(ISNUMBER(E32),IF(E32&lt;&gt;INT(E32),"사전 총점 정수 아님 ",""),"")&amp;IF(ISNUMBER(F32),IF(F32&lt;&gt;INT(F32),"사후 총점 정수 아님 ",""),"")&amp;IF(AND(COUNT(G32,I32,K32,M32,O32,Q32,S32)&gt;0,COUNT(G32,I32,K32,M32,O32,Q32,S32)&lt;7),"사전 하위항목 일부 빈칸 ","")&amp;IF(AND(COUNT(H32,J32,L32,N32,P32,R32,T32)&gt;0,COUNT(H32,J32,L32,N32,P32,R32,T32)&lt;7),"사후 하위항목 일부 빈칸 ","")))</f>
        <v/>
      </c>
    </row>
    <row r="33">
      <c r="A33" s="11" t="n"/>
      <c r="B33" s="11" t="n"/>
      <c r="C33" s="12" t="n"/>
      <c r="D33" s="12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4">
        <f>IF(COUNT(G33,I33,K33,M33,O33,Q33,S33)=7,SUM(G33,I33,K33,M33,O33,Q33,S33),"")</f>
        <v/>
      </c>
      <c r="V33" s="14">
        <f>IF(COUNT(H33,J33,L33,N33,P33,R33,T33)=7,SUM(H33,J33,L33,N33,P33,R33,T33),"")</f>
        <v/>
      </c>
      <c r="W33" s="15">
        <f>IF(A33="","",TRIM(IF(AND(ISNUMBER(U33),ISNUMBER(E33)),IF(U33&lt;&gt;E33,"사전: FMS 총점≠하위항목 합 ",""),"")&amp;IF(AND(ISNUMBER(V33),ISNUMBER(F33)),IF(V33&lt;&gt;F33,"사후: FMS 총점≠하위항목 합 ",""),"")&amp;IF(ISNUMBER(E33),IF(E33&lt;&gt;INT(E33),"사전 총점 정수 아님 ",""),"")&amp;IF(ISNUMBER(F33),IF(F33&lt;&gt;INT(F33),"사후 총점 정수 아님 ",""),"")&amp;IF(AND(COUNT(G33,I33,K33,M33,O33,Q33,S33)&gt;0,COUNT(G33,I33,K33,M33,O33,Q33,S33)&lt;7),"사전 하위항목 일부 빈칸 ","")&amp;IF(AND(COUNT(H33,J33,L33,N33,P33,R33,T33)&gt;0,COUNT(H33,J33,L33,N33,P33,R33,T33)&lt;7),"사후 하위항목 일부 빈칸 ","")))</f>
        <v/>
      </c>
    </row>
    <row r="34">
      <c r="A34" s="11" t="n"/>
      <c r="B34" s="11" t="n"/>
      <c r="C34" s="12" t="n"/>
      <c r="D34" s="12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4">
        <f>IF(COUNT(G34,I34,K34,M34,O34,Q34,S34)=7,SUM(G34,I34,K34,M34,O34,Q34,S34),"")</f>
        <v/>
      </c>
      <c r="V34" s="14">
        <f>IF(COUNT(H34,J34,L34,N34,P34,R34,T34)=7,SUM(H34,J34,L34,N34,P34,R34,T34),"")</f>
        <v/>
      </c>
      <c r="W34" s="15">
        <f>IF(A34="","",TRIM(IF(AND(ISNUMBER(U34),ISNUMBER(E34)),IF(U34&lt;&gt;E34,"사전: FMS 총점≠하위항목 합 ",""),"")&amp;IF(AND(ISNUMBER(V34),ISNUMBER(F34)),IF(V34&lt;&gt;F34,"사후: FMS 총점≠하위항목 합 ",""),"")&amp;IF(ISNUMBER(E34),IF(E34&lt;&gt;INT(E34),"사전 총점 정수 아님 ",""),"")&amp;IF(ISNUMBER(F34),IF(F34&lt;&gt;INT(F34),"사후 총점 정수 아님 ",""),"")&amp;IF(AND(COUNT(G34,I34,K34,M34,O34,Q34,S34)&gt;0,COUNT(G34,I34,K34,M34,O34,Q34,S34)&lt;7),"사전 하위항목 일부 빈칸 ","")&amp;IF(AND(COUNT(H34,J34,L34,N34,P34,R34,T34)&gt;0,COUNT(H34,J34,L34,N34,P34,R34,T34)&lt;7),"사후 하위항목 일부 빈칸 ","")))</f>
        <v/>
      </c>
    </row>
  </sheetData>
  <mergeCells count="14">
    <mergeCell ref="O2:P2"/>
    <mergeCell ref="M2:N2"/>
    <mergeCell ref="A1:W1"/>
    <mergeCell ref="Q2:R2"/>
    <mergeCell ref="S2:T2"/>
    <mergeCell ref="C2:D2"/>
    <mergeCell ref="U2:V2"/>
    <mergeCell ref="G2:H2"/>
    <mergeCell ref="E2:F2"/>
    <mergeCell ref="K2:L2"/>
    <mergeCell ref="I2:J2"/>
    <mergeCell ref="B2:B3"/>
    <mergeCell ref="A2:A3"/>
    <mergeCell ref="W2:W3"/>
  </mergeCells>
  <conditionalFormatting sqref="W5:W34">
    <cfRule type="expression" priority="1" dxfId="0">
      <formula>LEN(W5)&gt;0</formula>
    </cfRule>
  </conditionalFormatting>
  <dataValidations count="10">
    <dataValidation sqref="B5:B34" showDropDown="0" showInputMessage="0" showErrorMessage="1" allowBlank="1" errorTitle="집단" error="1(실험군) 또는 2(통제군)" type="list">
      <formula1>"1,2"</formula1>
    </dataValidation>
    <dataValidation sqref="C5:D34" showDropDown="0" showInputMessage="0" showErrorMessage="1" allowBlank="1" errorTitle="VO2" error="VO2max (mL/kg/min): 15–95 범위인지 확인하세요." type="decimal" errorStyle="warning" operator="between">
      <formula1>15</formula1>
      <formula2>95</formula2>
    </dataValidation>
    <dataValidation sqref="E5:F34" showDropDown="0" showInputMessage="0" showErrorMessage="1" allowBlank="1" errorTitle="FMS" error="FMS 총점 (0–21): 0–21 범위인지 확인하세요. FMS 점수는 보통 정수입니다." type="decimal" errorStyle="warning" operator="between">
      <formula1>0</formula1>
      <formula2>21</formula2>
    </dataValidation>
    <dataValidation sqref="G5:H34" showDropDown="0" showInputMessage="0" showErrorMessage="1" allowBlank="1" errorTitle="DS" error="Deep Squat: 0–3 범위인지 확인하세요. FMS 점수는 보통 정수입니다." type="decimal" errorStyle="warning" operator="between">
      <formula1>0</formula1>
      <formula2>3</formula2>
    </dataValidation>
    <dataValidation sqref="I5:J34" showDropDown="0" showInputMessage="0" showErrorMessage="1" allowBlank="1" errorTitle="HS" error="Hurdle Step: 0–3 범위인지 확인하세요. FMS 점수는 보통 정수입니다." type="decimal" errorStyle="warning" operator="between">
      <formula1>0</formula1>
      <formula2>3</formula2>
    </dataValidation>
    <dataValidation sqref="K5:L34" showDropDown="0" showInputMessage="0" showErrorMessage="1" allowBlank="1" errorTitle="ILL" error="In-line Lunge: 0–3 범위인지 확인하세요. FMS 점수는 보통 정수입니다." type="decimal" errorStyle="warning" operator="between">
      <formula1>0</formula1>
      <formula2>3</formula2>
    </dataValidation>
    <dataValidation sqref="M5:N34" showDropDown="0" showInputMessage="0" showErrorMessage="1" allowBlank="1" errorTitle="SM" error="Shoulder Mobility: 0–3 범위인지 확인하세요. FMS 점수는 보통 정수입니다." type="decimal" errorStyle="warning" operator="between">
      <formula1>0</formula1>
      <formula2>3</formula2>
    </dataValidation>
    <dataValidation sqref="O5:P34" showDropDown="0" showInputMessage="0" showErrorMessage="1" allowBlank="1" errorTitle="ASLR" error="Active Straight Leg Raise: 0–3 범위인지 확인하세요. FMS 점수는 보통 정수입니다." type="decimal" errorStyle="warning" operator="between">
      <formula1>0</formula1>
      <formula2>3</formula2>
    </dataValidation>
    <dataValidation sqref="Q5:R34" showDropDown="0" showInputMessage="0" showErrorMessage="1" allowBlank="1" errorTitle="TSPU" error="Trunk Stability Push-up: 0–3 범위인지 확인하세요. FMS 점수는 보통 정수입니다." type="decimal" errorStyle="warning" operator="between">
      <formula1>0</formula1>
      <formula2>3</formula2>
    </dataValidation>
    <dataValidation sqref="S5:T34" showDropDown="0" showInputMessage="0" showErrorMessage="1" allowBlank="1" errorTitle="RS" error="Rotary Stability: 0–3 범위인지 확인하세요. FMS 점수는 보통 정수입니다." type="decimal" errorStyle="warning" operator="between">
      <formula1>0</formula1>
      <formula2>3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5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9" customWidth="1" min="9" max="9"/>
    <col width="5" customWidth="1" min="10" max="10"/>
    <col width="8" customWidth="1" min="11" max="11"/>
    <col width="13" customWidth="1" min="12" max="12"/>
    <col width="13" customWidth="1" min="13" max="13"/>
    <col width="15" customWidth="1" min="14" max="14"/>
    <col width="10" customWidth="1" min="15" max="15"/>
    <col width="7" customWidth="1" min="16" max="16"/>
    <col width="8" customWidth="1" min="17" max="17"/>
    <col width="8" customWidth="1" min="18" max="18"/>
    <col width="36" customWidth="1" min="19" max="19"/>
  </cols>
  <sheetData>
    <row r="1">
      <c r="A1" s="16" t="inlineStr">
        <is>
          <t>결과 (논문 표 3·표 4용) — 입력 시트에서 집단이 1/2이고 사전·사후가 모두 있는 대상자만 계산</t>
        </is>
      </c>
    </row>
    <row r="2" ht="30" customHeight="1">
      <c r="A2" s="1" t="inlineStr">
        <is>
          <t>t는 SPSS 대응표본 검정과 같은 '사전−사후' 기준(증가하면 음수). 상호작용 F는 2(집단)×2(시기) 반복측정 분산분석의 집단×시기 상호작용과 같은 값(변화량의 독립표본 t²)입니다. FMS 하위항목의 p는 대응표본 t검정 기준입니다.</t>
        </is>
      </c>
    </row>
    <row r="4">
      <c r="A4" s="17" t="inlineStr">
        <is>
          <t>표 3. VO2max와 FMS 총점</t>
        </is>
      </c>
    </row>
    <row r="5" ht="30" customHeight="1">
      <c r="A5" s="18" t="inlineStr">
        <is>
          <t>변인</t>
        </is>
      </c>
      <c r="B5" s="18" t="inlineStr">
        <is>
          <t>집단</t>
        </is>
      </c>
      <c r="C5" s="18" t="inlineStr">
        <is>
          <t>n</t>
        </is>
      </c>
      <c r="D5" s="18" t="inlineStr">
        <is>
          <t>사전 M</t>
        </is>
      </c>
      <c r="E5" s="18" t="inlineStr">
        <is>
          <t>사전 SD</t>
        </is>
      </c>
      <c r="F5" s="18" t="inlineStr">
        <is>
          <t>사후 M</t>
        </is>
      </c>
      <c r="G5" s="18" t="inlineStr">
        <is>
          <t>사후 SD</t>
        </is>
      </c>
      <c r="H5" s="18" t="inlineStr">
        <is>
          <t>변화량 SD</t>
        </is>
      </c>
      <c r="I5" s="18" t="inlineStr">
        <is>
          <t>t
(사전−사후)</t>
        </is>
      </c>
      <c r="J5" s="18" t="inlineStr">
        <is>
          <t>df</t>
        </is>
      </c>
      <c r="K5" s="18" t="inlineStr">
        <is>
          <t>p</t>
        </is>
      </c>
      <c r="L5" s="18" t="inlineStr">
        <is>
          <t>사전
(논문 표기)</t>
        </is>
      </c>
      <c r="M5" s="18" t="inlineStr">
        <is>
          <t>사후
(논문 표기)</t>
        </is>
      </c>
      <c r="N5" s="18" t="inlineStr">
        <is>
          <t>t (p)
(논문 표기)</t>
        </is>
      </c>
      <c r="O5" s="18" t="inlineStr">
        <is>
          <t>상호작용 F</t>
        </is>
      </c>
      <c r="P5" s="18" t="inlineStr">
        <is>
          <t>df(오차)</t>
        </is>
      </c>
      <c r="Q5" s="18" t="inlineStr">
        <is>
          <t>p</t>
        </is>
      </c>
      <c r="R5" s="18" t="inlineStr">
        <is>
          <t>부분 η²</t>
        </is>
      </c>
      <c r="S5" s="18" t="inlineStr">
        <is>
          <t>상호작용 (논문 표기)</t>
        </is>
      </c>
    </row>
    <row r="6">
      <c r="A6" s="19" t="inlineStr">
        <is>
          <t>VO2max</t>
        </is>
      </c>
      <c r="B6" s="19" t="inlineStr">
        <is>
          <t>실험군</t>
        </is>
      </c>
      <c r="C6" s="20">
        <f>SUMPRODUCT(('입력'!$B$5:$B$34=1)*ISNUMBER('입력'!$C$5:$C$34)*ISNUMBER('입력'!$D$5:$D$34))</f>
        <v/>
      </c>
      <c r="D6" s="21">
        <f t="array" ref="D6">IF(C6&lt;1,"",AVERAGE(IF(('입력'!$B$5:$B$34=1)*ISNUMBER('입력'!$C$5:$C$34)*ISNUMBER('입력'!$D$5:$D$34),'입력'!$C$5:$C$34)))</f>
        <v/>
      </c>
      <c r="E6" s="21">
        <f t="array" ref="E6">IF(C6&lt;2,"",STDEV(IF(('입력'!$B$5:$B$34=1)*ISNUMBER('입력'!$C$5:$C$34)*ISNUMBER('입력'!$D$5:$D$34),'입력'!$C$5:$C$34)))</f>
        <v/>
      </c>
      <c r="F6" s="21">
        <f t="array" ref="F6">IF(C6&lt;1,"",AVERAGE(IF(('입력'!$B$5:$B$34=1)*ISNUMBER('입력'!$C$5:$C$34)*ISNUMBER('입력'!$D$5:$D$34),'입력'!$D$5:$D$34)))</f>
        <v/>
      </c>
      <c r="G6" s="21">
        <f t="array" ref="G6">IF(C6&lt;2,"",STDEV(IF(('입력'!$B$5:$B$34=1)*ISNUMBER('입력'!$C$5:$C$34)*ISNUMBER('입력'!$D$5:$D$34),'입력'!$D$5:$D$34)))</f>
        <v/>
      </c>
      <c r="H6" s="21">
        <f t="array" ref="H6">IF(C6&lt;2,"",STDEV(IF(('입력'!$B$5:$B$34=1)*ISNUMBER('입력'!$C$5:$C$34)*ISNUMBER('입력'!$D$5:$D$34),'입력'!$D$5:$D$34-'입력'!$C$5:$C$34)))</f>
        <v/>
      </c>
      <c r="I6" s="22">
        <f>IF(OR(C6&lt;2,H6=""),"",IF(ROUND(H6,10)=0,"",(D6-F6)/(H6/SQRT(C6))))</f>
        <v/>
      </c>
      <c r="J6" s="20">
        <f>IF(I6="","",C6-1)</f>
        <v/>
      </c>
      <c r="K6" s="23">
        <f>IF(I6="","",TDIST(ABS(I6),J6,2))</f>
        <v/>
      </c>
      <c r="L6" s="24">
        <f>IF(D6="","",TEXT(D6,"0.00")&amp;"±"&amp;IF(E6="","",TEXT(E6,"0.00")))</f>
        <v/>
      </c>
      <c r="M6" s="24">
        <f>IF(F6="","",TEXT(F6,"0.00")&amp;"±"&amp;IF(G6="","",TEXT(G6,"0.00")))</f>
        <v/>
      </c>
      <c r="N6" s="24">
        <f>IF(K6="","",TEXT(I6,"0.000")&amp;" ("&amp;IF(K6&lt;0.001,"&lt;.001",TEXT(K6,".000"))&amp;")")</f>
        <v/>
      </c>
      <c r="O6" s="22">
        <f>IF(OR(C6&lt;2,C7&lt;2,H6="",H7=""),"",IF(ROUND(SQRT(((C6-1)*H6^2+(C7-1)*H7^2)/(C6+C7-2)),10)=0,"",(((F6-D6)-(F7-D7))/(SQRT(((C6-1)*H6^2+(C7-1)*H7^2)/(C6+C7-2))*SQRT(1/C6+1/C7)))^2))</f>
        <v/>
      </c>
      <c r="P6" s="20">
        <f>IF(O6="","",C6+C7-2)</f>
        <v/>
      </c>
      <c r="Q6" s="23">
        <f>IF(O6="","",FDIST(O6,1,P6))</f>
        <v/>
      </c>
      <c r="R6" s="22">
        <f>IF(O6="","",O6/(O6+P6))</f>
        <v/>
      </c>
      <c r="S6" s="25">
        <f>IF(O6="","","F(1, "&amp;P6&amp;") = "&amp;TEXT(O6,"0.000")&amp;", p "&amp;IF(Q6&lt;0.001,"&lt; .001","= "&amp;TEXT(Q6,".000"))&amp;", ηp² = "&amp;TEXT(R6,".000"))</f>
        <v/>
      </c>
    </row>
    <row r="7">
      <c r="A7" s="19" t="inlineStr"/>
      <c r="B7" s="19" t="inlineStr">
        <is>
          <t>통제군</t>
        </is>
      </c>
      <c r="C7" s="20">
        <f>SUMPRODUCT(('입력'!$B$5:$B$34=2)*ISNUMBER('입력'!$C$5:$C$34)*ISNUMBER('입력'!$D$5:$D$34))</f>
        <v/>
      </c>
      <c r="D7" s="21">
        <f t="array" ref="D7">IF(C7&lt;1,"",AVERAGE(IF(('입력'!$B$5:$B$34=2)*ISNUMBER('입력'!$C$5:$C$34)*ISNUMBER('입력'!$D$5:$D$34),'입력'!$C$5:$C$34)))</f>
        <v/>
      </c>
      <c r="E7" s="21">
        <f t="array" ref="E7">IF(C7&lt;2,"",STDEV(IF(('입력'!$B$5:$B$34=2)*ISNUMBER('입력'!$C$5:$C$34)*ISNUMBER('입력'!$D$5:$D$34),'입력'!$C$5:$C$34)))</f>
        <v/>
      </c>
      <c r="F7" s="21">
        <f t="array" ref="F7">IF(C7&lt;1,"",AVERAGE(IF(('입력'!$B$5:$B$34=2)*ISNUMBER('입력'!$C$5:$C$34)*ISNUMBER('입력'!$D$5:$D$34),'입력'!$D$5:$D$34)))</f>
        <v/>
      </c>
      <c r="G7" s="21">
        <f t="array" ref="G7">IF(C7&lt;2,"",STDEV(IF(('입력'!$B$5:$B$34=2)*ISNUMBER('입력'!$C$5:$C$34)*ISNUMBER('입력'!$D$5:$D$34),'입력'!$D$5:$D$34)))</f>
        <v/>
      </c>
      <c r="H7" s="21">
        <f t="array" ref="H7">IF(C7&lt;2,"",STDEV(IF(('입력'!$B$5:$B$34=2)*ISNUMBER('입력'!$C$5:$C$34)*ISNUMBER('입력'!$D$5:$D$34),'입력'!$D$5:$D$34-'입력'!$C$5:$C$34)))</f>
        <v/>
      </c>
      <c r="I7" s="22">
        <f>IF(OR(C7&lt;2,H7=""),"",IF(ROUND(H7,10)=0,"",(D7-F7)/(H7/SQRT(C7))))</f>
        <v/>
      </c>
      <c r="J7" s="20">
        <f>IF(I7="","",C7-1)</f>
        <v/>
      </c>
      <c r="K7" s="23">
        <f>IF(I7="","",TDIST(ABS(I7),J7,2))</f>
        <v/>
      </c>
      <c r="L7" s="24">
        <f>IF(D7="","",TEXT(D7,"0.00")&amp;"±"&amp;IF(E7="","",TEXT(E7,"0.00")))</f>
        <v/>
      </c>
      <c r="M7" s="24">
        <f>IF(F7="","",TEXT(F7,"0.00")&amp;"±"&amp;IF(G7="","",TEXT(G7,"0.00")))</f>
        <v/>
      </c>
      <c r="N7" s="24">
        <f>IF(K7="","",TEXT(I7,"0.000")&amp;" ("&amp;IF(K7&lt;0.001,"&lt;.001",TEXT(K7,".000"))&amp;")")</f>
        <v/>
      </c>
      <c r="O7" s="26" t="n"/>
      <c r="P7" s="26" t="n"/>
      <c r="Q7" s="26" t="n"/>
      <c r="R7" s="26" t="n"/>
      <c r="S7" s="26" t="n"/>
    </row>
    <row r="8">
      <c r="A8" s="19" t="inlineStr">
        <is>
          <t>FMS 총점</t>
        </is>
      </c>
      <c r="B8" s="19" t="inlineStr">
        <is>
          <t>실험군</t>
        </is>
      </c>
      <c r="C8" s="20">
        <f>SUMPRODUCT(('입력'!$B$5:$B$34=1)*ISNUMBER('입력'!$E$5:$E$34)*ISNUMBER('입력'!$F$5:$F$34))</f>
        <v/>
      </c>
      <c r="D8" s="21">
        <f t="array" ref="D8">IF(C8&lt;1,"",AVERAGE(IF(('입력'!$B$5:$B$34=1)*ISNUMBER('입력'!$E$5:$E$34)*ISNUMBER('입력'!$F$5:$F$34),'입력'!$E$5:$E$34)))</f>
        <v/>
      </c>
      <c r="E8" s="21">
        <f t="array" ref="E8">IF(C8&lt;2,"",STDEV(IF(('입력'!$B$5:$B$34=1)*ISNUMBER('입력'!$E$5:$E$34)*ISNUMBER('입력'!$F$5:$F$34),'입력'!$E$5:$E$34)))</f>
        <v/>
      </c>
      <c r="F8" s="21">
        <f t="array" ref="F8">IF(C8&lt;1,"",AVERAGE(IF(('입력'!$B$5:$B$34=1)*ISNUMBER('입력'!$E$5:$E$34)*ISNUMBER('입력'!$F$5:$F$34),'입력'!$F$5:$F$34)))</f>
        <v/>
      </c>
      <c r="G8" s="21">
        <f t="array" ref="G8">IF(C8&lt;2,"",STDEV(IF(('입력'!$B$5:$B$34=1)*ISNUMBER('입력'!$E$5:$E$34)*ISNUMBER('입력'!$F$5:$F$34),'입력'!$F$5:$F$34)))</f>
        <v/>
      </c>
      <c r="H8" s="21">
        <f t="array" ref="H8">IF(C8&lt;2,"",STDEV(IF(('입력'!$B$5:$B$34=1)*ISNUMBER('입력'!$E$5:$E$34)*ISNUMBER('입력'!$F$5:$F$34),'입력'!$F$5:$F$34-'입력'!$E$5:$E$34)))</f>
        <v/>
      </c>
      <c r="I8" s="22">
        <f>IF(OR(C8&lt;2,H8=""),"",IF(ROUND(H8,10)=0,"",(D8-F8)/(H8/SQRT(C8))))</f>
        <v/>
      </c>
      <c r="J8" s="20">
        <f>IF(I8="","",C8-1)</f>
        <v/>
      </c>
      <c r="K8" s="23">
        <f>IF(I8="","",TDIST(ABS(I8),J8,2))</f>
        <v/>
      </c>
      <c r="L8" s="24">
        <f>IF(D8="","",TEXT(D8,"0.00")&amp;"±"&amp;IF(E8="","",TEXT(E8,"0.00")))</f>
        <v/>
      </c>
      <c r="M8" s="24">
        <f>IF(F8="","",TEXT(F8,"0.00")&amp;"±"&amp;IF(G8="","",TEXT(G8,"0.00")))</f>
        <v/>
      </c>
      <c r="N8" s="24">
        <f>IF(K8="","",TEXT(I8,"0.000")&amp;" ("&amp;IF(K8&lt;0.001,"&lt;.001",TEXT(K8,".000"))&amp;")")</f>
        <v/>
      </c>
      <c r="O8" s="22">
        <f>IF(OR(C8&lt;2,C9&lt;2,H8="",H9=""),"",IF(ROUND(SQRT(((C8-1)*H8^2+(C9-1)*H9^2)/(C8+C9-2)),10)=0,"",(((F8-D8)-(F9-D9))/(SQRT(((C8-1)*H8^2+(C9-1)*H9^2)/(C8+C9-2))*SQRT(1/C8+1/C9)))^2))</f>
        <v/>
      </c>
      <c r="P8" s="20">
        <f>IF(O8="","",C8+C9-2)</f>
        <v/>
      </c>
      <c r="Q8" s="23">
        <f>IF(O8="","",FDIST(O8,1,P8))</f>
        <v/>
      </c>
      <c r="R8" s="22">
        <f>IF(O8="","",O8/(O8+P8))</f>
        <v/>
      </c>
      <c r="S8" s="25">
        <f>IF(O8="","","F(1, "&amp;P8&amp;") = "&amp;TEXT(O8,"0.000")&amp;", p "&amp;IF(Q8&lt;0.001,"&lt; .001","= "&amp;TEXT(Q8,".000"))&amp;", ηp² = "&amp;TEXT(R8,".000"))</f>
        <v/>
      </c>
    </row>
    <row r="9">
      <c r="A9" s="19" t="inlineStr"/>
      <c r="B9" s="19" t="inlineStr">
        <is>
          <t>통제군</t>
        </is>
      </c>
      <c r="C9" s="20">
        <f>SUMPRODUCT(('입력'!$B$5:$B$34=2)*ISNUMBER('입력'!$E$5:$E$34)*ISNUMBER('입력'!$F$5:$F$34))</f>
        <v/>
      </c>
      <c r="D9" s="21">
        <f t="array" ref="D9">IF(C9&lt;1,"",AVERAGE(IF(('입력'!$B$5:$B$34=2)*ISNUMBER('입력'!$E$5:$E$34)*ISNUMBER('입력'!$F$5:$F$34),'입력'!$E$5:$E$34)))</f>
        <v/>
      </c>
      <c r="E9" s="21">
        <f t="array" ref="E9">IF(C9&lt;2,"",STDEV(IF(('입력'!$B$5:$B$34=2)*ISNUMBER('입력'!$E$5:$E$34)*ISNUMBER('입력'!$F$5:$F$34),'입력'!$E$5:$E$34)))</f>
        <v/>
      </c>
      <c r="F9" s="21">
        <f t="array" ref="F9">IF(C9&lt;1,"",AVERAGE(IF(('입력'!$B$5:$B$34=2)*ISNUMBER('입력'!$E$5:$E$34)*ISNUMBER('입력'!$F$5:$F$34),'입력'!$F$5:$F$34)))</f>
        <v/>
      </c>
      <c r="G9" s="21">
        <f t="array" ref="G9">IF(C9&lt;2,"",STDEV(IF(('입력'!$B$5:$B$34=2)*ISNUMBER('입력'!$E$5:$E$34)*ISNUMBER('입력'!$F$5:$F$34),'입력'!$F$5:$F$34)))</f>
        <v/>
      </c>
      <c r="H9" s="21">
        <f t="array" ref="H9">IF(C9&lt;2,"",STDEV(IF(('입력'!$B$5:$B$34=2)*ISNUMBER('입력'!$E$5:$E$34)*ISNUMBER('입력'!$F$5:$F$34),'입력'!$F$5:$F$34-'입력'!$E$5:$E$34)))</f>
        <v/>
      </c>
      <c r="I9" s="22">
        <f>IF(OR(C9&lt;2,H9=""),"",IF(ROUND(H9,10)=0,"",(D9-F9)/(H9/SQRT(C9))))</f>
        <v/>
      </c>
      <c r="J9" s="20">
        <f>IF(I9="","",C9-1)</f>
        <v/>
      </c>
      <c r="K9" s="23">
        <f>IF(I9="","",TDIST(ABS(I9),J9,2))</f>
        <v/>
      </c>
      <c r="L9" s="24">
        <f>IF(D9="","",TEXT(D9,"0.00")&amp;"±"&amp;IF(E9="","",TEXT(E9,"0.00")))</f>
        <v/>
      </c>
      <c r="M9" s="24">
        <f>IF(F9="","",TEXT(F9,"0.00")&amp;"±"&amp;IF(G9="","",TEXT(G9,"0.00")))</f>
        <v/>
      </c>
      <c r="N9" s="24">
        <f>IF(K9="","",TEXT(I9,"0.000")&amp;" ("&amp;IF(K9&lt;0.001,"&lt;.001",TEXT(K9,".000"))&amp;")")</f>
        <v/>
      </c>
      <c r="O9" s="26" t="n"/>
      <c r="P9" s="26" t="n"/>
      <c r="Q9" s="26" t="n"/>
      <c r="R9" s="26" t="n"/>
      <c r="S9" s="26" t="n"/>
    </row>
    <row r="11">
      <c r="A11" s="17" t="inlineStr">
        <is>
          <t>표 4. FMS 하위항목</t>
        </is>
      </c>
    </row>
    <row r="12" ht="30" customHeight="1">
      <c r="A12" s="18" t="inlineStr">
        <is>
          <t>변인</t>
        </is>
      </c>
      <c r="B12" s="18" t="inlineStr">
        <is>
          <t>집단</t>
        </is>
      </c>
      <c r="C12" s="18" t="inlineStr">
        <is>
          <t>n</t>
        </is>
      </c>
      <c r="D12" s="18" t="inlineStr">
        <is>
          <t>사전 M</t>
        </is>
      </c>
      <c r="E12" s="18" t="inlineStr">
        <is>
          <t>사전 SD</t>
        </is>
      </c>
      <c r="F12" s="18" t="inlineStr">
        <is>
          <t>사후 M</t>
        </is>
      </c>
      <c r="G12" s="18" t="inlineStr">
        <is>
          <t>사후 SD</t>
        </is>
      </c>
      <c r="H12" s="18" t="inlineStr">
        <is>
          <t>변화량 SD</t>
        </is>
      </c>
      <c r="I12" s="18" t="inlineStr">
        <is>
          <t>t
(사전−사후)</t>
        </is>
      </c>
      <c r="J12" s="18" t="inlineStr">
        <is>
          <t>df</t>
        </is>
      </c>
      <c r="K12" s="18" t="inlineStr">
        <is>
          <t>p</t>
        </is>
      </c>
      <c r="L12" s="18" t="inlineStr">
        <is>
          <t>사전
(논문 표기)</t>
        </is>
      </c>
      <c r="M12" s="18" t="inlineStr">
        <is>
          <t>사후
(논문 표기)</t>
        </is>
      </c>
      <c r="N12" s="18" t="inlineStr">
        <is>
          <t>t (p)
(논문 표기)</t>
        </is>
      </c>
    </row>
    <row r="13">
      <c r="A13" s="19" t="inlineStr">
        <is>
          <t>Deep Squat</t>
        </is>
      </c>
      <c r="B13" s="19" t="inlineStr">
        <is>
          <t>실험군</t>
        </is>
      </c>
      <c r="C13" s="20">
        <f>SUMPRODUCT(('입력'!$B$5:$B$34=1)*ISNUMBER('입력'!$G$5:$G$34)*ISNUMBER('입력'!$H$5:$H$34))</f>
        <v/>
      </c>
      <c r="D13" s="21">
        <f t="array" ref="D13">IF(C13&lt;1,"",AVERAGE(IF(('입력'!$B$5:$B$34=1)*ISNUMBER('입력'!$G$5:$G$34)*ISNUMBER('입력'!$H$5:$H$34),'입력'!$G$5:$G$34)))</f>
        <v/>
      </c>
      <c r="E13" s="21">
        <f t="array" ref="E13">IF(C13&lt;2,"",STDEV(IF(('입력'!$B$5:$B$34=1)*ISNUMBER('입력'!$G$5:$G$34)*ISNUMBER('입력'!$H$5:$H$34),'입력'!$G$5:$G$34)))</f>
        <v/>
      </c>
      <c r="F13" s="21">
        <f t="array" ref="F13">IF(C13&lt;1,"",AVERAGE(IF(('입력'!$B$5:$B$34=1)*ISNUMBER('입력'!$G$5:$G$34)*ISNUMBER('입력'!$H$5:$H$34),'입력'!$H$5:$H$34)))</f>
        <v/>
      </c>
      <c r="G13" s="21">
        <f t="array" ref="G13">IF(C13&lt;2,"",STDEV(IF(('입력'!$B$5:$B$34=1)*ISNUMBER('입력'!$G$5:$G$34)*ISNUMBER('입력'!$H$5:$H$34),'입력'!$H$5:$H$34)))</f>
        <v/>
      </c>
      <c r="H13" s="21">
        <f t="array" ref="H13">IF(C13&lt;2,"",STDEV(IF(('입력'!$B$5:$B$34=1)*ISNUMBER('입력'!$G$5:$G$34)*ISNUMBER('입력'!$H$5:$H$34),'입력'!$H$5:$H$34-'입력'!$G$5:$G$34)))</f>
        <v/>
      </c>
      <c r="I13" s="22">
        <f>IF(OR(C13&lt;2,H13=""),"",IF(ROUND(H13,10)=0,"",(D13-F13)/(H13/SQRT(C13))))</f>
        <v/>
      </c>
      <c r="J13" s="20">
        <f>IF(I13="","",C13-1)</f>
        <v/>
      </c>
      <c r="K13" s="23">
        <f>IF(I13="","",TDIST(ABS(I13),J13,2))</f>
        <v/>
      </c>
      <c r="L13" s="24">
        <f>IF(D13="","",TEXT(D13,"0.00")&amp;"±"&amp;IF(E13="","",TEXT(E13,"0.00")))</f>
        <v/>
      </c>
      <c r="M13" s="24">
        <f>IF(F13="","",TEXT(F13,"0.00")&amp;"±"&amp;IF(G13="","",TEXT(G13,"0.00")))</f>
        <v/>
      </c>
      <c r="N13" s="24">
        <f>IF(K13="","",TEXT(I13,"0.000")&amp;" ("&amp;IF(K13&lt;0.001,"&lt;.001",TEXT(K13,".000"))&amp;")")</f>
        <v/>
      </c>
    </row>
    <row r="14">
      <c r="A14" s="19" t="inlineStr"/>
      <c r="B14" s="19" t="inlineStr">
        <is>
          <t>통제군</t>
        </is>
      </c>
      <c r="C14" s="20">
        <f>SUMPRODUCT(('입력'!$B$5:$B$34=2)*ISNUMBER('입력'!$G$5:$G$34)*ISNUMBER('입력'!$H$5:$H$34))</f>
        <v/>
      </c>
      <c r="D14" s="21">
        <f t="array" ref="D14">IF(C14&lt;1,"",AVERAGE(IF(('입력'!$B$5:$B$34=2)*ISNUMBER('입력'!$G$5:$G$34)*ISNUMBER('입력'!$H$5:$H$34),'입력'!$G$5:$G$34)))</f>
        <v/>
      </c>
      <c r="E14" s="21">
        <f t="array" ref="E14">IF(C14&lt;2,"",STDEV(IF(('입력'!$B$5:$B$34=2)*ISNUMBER('입력'!$G$5:$G$34)*ISNUMBER('입력'!$H$5:$H$34),'입력'!$G$5:$G$34)))</f>
        <v/>
      </c>
      <c r="F14" s="21">
        <f t="array" ref="F14">IF(C14&lt;1,"",AVERAGE(IF(('입력'!$B$5:$B$34=2)*ISNUMBER('입력'!$G$5:$G$34)*ISNUMBER('입력'!$H$5:$H$34),'입력'!$H$5:$H$34)))</f>
        <v/>
      </c>
      <c r="G14" s="21">
        <f t="array" ref="G14">IF(C14&lt;2,"",STDEV(IF(('입력'!$B$5:$B$34=2)*ISNUMBER('입력'!$G$5:$G$34)*ISNUMBER('입력'!$H$5:$H$34),'입력'!$H$5:$H$34)))</f>
        <v/>
      </c>
      <c r="H14" s="21">
        <f t="array" ref="H14">IF(C14&lt;2,"",STDEV(IF(('입력'!$B$5:$B$34=2)*ISNUMBER('입력'!$G$5:$G$34)*ISNUMBER('입력'!$H$5:$H$34),'입력'!$H$5:$H$34-'입력'!$G$5:$G$34)))</f>
        <v/>
      </c>
      <c r="I14" s="22">
        <f>IF(OR(C14&lt;2,H14=""),"",IF(ROUND(H14,10)=0,"",(D14-F14)/(H14/SQRT(C14))))</f>
        <v/>
      </c>
      <c r="J14" s="20">
        <f>IF(I14="","",C14-1)</f>
        <v/>
      </c>
      <c r="K14" s="23">
        <f>IF(I14="","",TDIST(ABS(I14),J14,2))</f>
        <v/>
      </c>
      <c r="L14" s="24">
        <f>IF(D14="","",TEXT(D14,"0.00")&amp;"±"&amp;IF(E14="","",TEXT(E14,"0.00")))</f>
        <v/>
      </c>
      <c r="M14" s="24">
        <f>IF(F14="","",TEXT(F14,"0.00")&amp;"±"&amp;IF(G14="","",TEXT(G14,"0.00")))</f>
        <v/>
      </c>
      <c r="N14" s="24">
        <f>IF(K14="","",TEXT(I14,"0.000")&amp;" ("&amp;IF(K14&lt;0.001,"&lt;.001",TEXT(K14,".000"))&amp;")")</f>
        <v/>
      </c>
    </row>
    <row r="15">
      <c r="A15" s="19" t="inlineStr">
        <is>
          <t>Hurdle Step</t>
        </is>
      </c>
      <c r="B15" s="19" t="inlineStr">
        <is>
          <t>실험군</t>
        </is>
      </c>
      <c r="C15" s="20">
        <f>SUMPRODUCT(('입력'!$B$5:$B$34=1)*ISNUMBER('입력'!$I$5:$I$34)*ISNUMBER('입력'!$J$5:$J$34))</f>
        <v/>
      </c>
      <c r="D15" s="21">
        <f t="array" ref="D15">IF(C15&lt;1,"",AVERAGE(IF(('입력'!$B$5:$B$34=1)*ISNUMBER('입력'!$I$5:$I$34)*ISNUMBER('입력'!$J$5:$J$34),'입력'!$I$5:$I$34)))</f>
        <v/>
      </c>
      <c r="E15" s="21">
        <f t="array" ref="E15">IF(C15&lt;2,"",STDEV(IF(('입력'!$B$5:$B$34=1)*ISNUMBER('입력'!$I$5:$I$34)*ISNUMBER('입력'!$J$5:$J$34),'입력'!$I$5:$I$34)))</f>
        <v/>
      </c>
      <c r="F15" s="21">
        <f t="array" ref="F15">IF(C15&lt;1,"",AVERAGE(IF(('입력'!$B$5:$B$34=1)*ISNUMBER('입력'!$I$5:$I$34)*ISNUMBER('입력'!$J$5:$J$34),'입력'!$J$5:$J$34)))</f>
        <v/>
      </c>
      <c r="G15" s="21">
        <f t="array" ref="G15">IF(C15&lt;2,"",STDEV(IF(('입력'!$B$5:$B$34=1)*ISNUMBER('입력'!$I$5:$I$34)*ISNUMBER('입력'!$J$5:$J$34),'입력'!$J$5:$J$34)))</f>
        <v/>
      </c>
      <c r="H15" s="21">
        <f t="array" ref="H15">IF(C15&lt;2,"",STDEV(IF(('입력'!$B$5:$B$34=1)*ISNUMBER('입력'!$I$5:$I$34)*ISNUMBER('입력'!$J$5:$J$34),'입력'!$J$5:$J$34-'입력'!$I$5:$I$34)))</f>
        <v/>
      </c>
      <c r="I15" s="22">
        <f>IF(OR(C15&lt;2,H15=""),"",IF(ROUND(H15,10)=0,"",(D15-F15)/(H15/SQRT(C15))))</f>
        <v/>
      </c>
      <c r="J15" s="20">
        <f>IF(I15="","",C15-1)</f>
        <v/>
      </c>
      <c r="K15" s="23">
        <f>IF(I15="","",TDIST(ABS(I15),J15,2))</f>
        <v/>
      </c>
      <c r="L15" s="24">
        <f>IF(D15="","",TEXT(D15,"0.00")&amp;"±"&amp;IF(E15="","",TEXT(E15,"0.00")))</f>
        <v/>
      </c>
      <c r="M15" s="24">
        <f>IF(F15="","",TEXT(F15,"0.00")&amp;"±"&amp;IF(G15="","",TEXT(G15,"0.00")))</f>
        <v/>
      </c>
      <c r="N15" s="24">
        <f>IF(K15="","",TEXT(I15,"0.000")&amp;" ("&amp;IF(K15&lt;0.001,"&lt;.001",TEXT(K15,".000"))&amp;")")</f>
        <v/>
      </c>
    </row>
    <row r="16">
      <c r="A16" s="19" t="inlineStr"/>
      <c r="B16" s="19" t="inlineStr">
        <is>
          <t>통제군</t>
        </is>
      </c>
      <c r="C16" s="20">
        <f>SUMPRODUCT(('입력'!$B$5:$B$34=2)*ISNUMBER('입력'!$I$5:$I$34)*ISNUMBER('입력'!$J$5:$J$34))</f>
        <v/>
      </c>
      <c r="D16" s="21">
        <f t="array" ref="D16">IF(C16&lt;1,"",AVERAGE(IF(('입력'!$B$5:$B$34=2)*ISNUMBER('입력'!$I$5:$I$34)*ISNUMBER('입력'!$J$5:$J$34),'입력'!$I$5:$I$34)))</f>
        <v/>
      </c>
      <c r="E16" s="21">
        <f t="array" ref="E16">IF(C16&lt;2,"",STDEV(IF(('입력'!$B$5:$B$34=2)*ISNUMBER('입력'!$I$5:$I$34)*ISNUMBER('입력'!$J$5:$J$34),'입력'!$I$5:$I$34)))</f>
        <v/>
      </c>
      <c r="F16" s="21">
        <f t="array" ref="F16">IF(C16&lt;1,"",AVERAGE(IF(('입력'!$B$5:$B$34=2)*ISNUMBER('입력'!$I$5:$I$34)*ISNUMBER('입력'!$J$5:$J$34),'입력'!$J$5:$J$34)))</f>
        <v/>
      </c>
      <c r="G16" s="21">
        <f t="array" ref="G16">IF(C16&lt;2,"",STDEV(IF(('입력'!$B$5:$B$34=2)*ISNUMBER('입력'!$I$5:$I$34)*ISNUMBER('입력'!$J$5:$J$34),'입력'!$J$5:$J$34)))</f>
        <v/>
      </c>
      <c r="H16" s="21">
        <f t="array" ref="H16">IF(C16&lt;2,"",STDEV(IF(('입력'!$B$5:$B$34=2)*ISNUMBER('입력'!$I$5:$I$34)*ISNUMBER('입력'!$J$5:$J$34),'입력'!$J$5:$J$34-'입력'!$I$5:$I$34)))</f>
        <v/>
      </c>
      <c r="I16" s="22">
        <f>IF(OR(C16&lt;2,H16=""),"",IF(ROUND(H16,10)=0,"",(D16-F16)/(H16/SQRT(C16))))</f>
        <v/>
      </c>
      <c r="J16" s="20">
        <f>IF(I16="","",C16-1)</f>
        <v/>
      </c>
      <c r="K16" s="23">
        <f>IF(I16="","",TDIST(ABS(I16),J16,2))</f>
        <v/>
      </c>
      <c r="L16" s="24">
        <f>IF(D16="","",TEXT(D16,"0.00")&amp;"±"&amp;IF(E16="","",TEXT(E16,"0.00")))</f>
        <v/>
      </c>
      <c r="M16" s="24">
        <f>IF(F16="","",TEXT(F16,"0.00")&amp;"±"&amp;IF(G16="","",TEXT(G16,"0.00")))</f>
        <v/>
      </c>
      <c r="N16" s="24">
        <f>IF(K16="","",TEXT(I16,"0.000")&amp;" ("&amp;IF(K16&lt;0.001,"&lt;.001",TEXT(K16,".000"))&amp;")")</f>
        <v/>
      </c>
    </row>
    <row r="17">
      <c r="A17" s="19" t="inlineStr">
        <is>
          <t>In-line Lunge</t>
        </is>
      </c>
      <c r="B17" s="19" t="inlineStr">
        <is>
          <t>실험군</t>
        </is>
      </c>
      <c r="C17" s="20">
        <f>SUMPRODUCT(('입력'!$B$5:$B$34=1)*ISNUMBER('입력'!$K$5:$K$34)*ISNUMBER('입력'!$L$5:$L$34))</f>
        <v/>
      </c>
      <c r="D17" s="21">
        <f t="array" ref="D17">IF(C17&lt;1,"",AVERAGE(IF(('입력'!$B$5:$B$34=1)*ISNUMBER('입력'!$K$5:$K$34)*ISNUMBER('입력'!$L$5:$L$34),'입력'!$K$5:$K$34)))</f>
        <v/>
      </c>
      <c r="E17" s="21">
        <f t="array" ref="E17">IF(C17&lt;2,"",STDEV(IF(('입력'!$B$5:$B$34=1)*ISNUMBER('입력'!$K$5:$K$34)*ISNUMBER('입력'!$L$5:$L$34),'입력'!$K$5:$K$34)))</f>
        <v/>
      </c>
      <c r="F17" s="21">
        <f t="array" ref="F17">IF(C17&lt;1,"",AVERAGE(IF(('입력'!$B$5:$B$34=1)*ISNUMBER('입력'!$K$5:$K$34)*ISNUMBER('입력'!$L$5:$L$34),'입력'!$L$5:$L$34)))</f>
        <v/>
      </c>
      <c r="G17" s="21">
        <f t="array" ref="G17">IF(C17&lt;2,"",STDEV(IF(('입력'!$B$5:$B$34=1)*ISNUMBER('입력'!$K$5:$K$34)*ISNUMBER('입력'!$L$5:$L$34),'입력'!$L$5:$L$34)))</f>
        <v/>
      </c>
      <c r="H17" s="21">
        <f t="array" ref="H17">IF(C17&lt;2,"",STDEV(IF(('입력'!$B$5:$B$34=1)*ISNUMBER('입력'!$K$5:$K$34)*ISNUMBER('입력'!$L$5:$L$34),'입력'!$L$5:$L$34-'입력'!$K$5:$K$34)))</f>
        <v/>
      </c>
      <c r="I17" s="22">
        <f>IF(OR(C17&lt;2,H17=""),"",IF(ROUND(H17,10)=0,"",(D17-F17)/(H17/SQRT(C17))))</f>
        <v/>
      </c>
      <c r="J17" s="20">
        <f>IF(I17="","",C17-1)</f>
        <v/>
      </c>
      <c r="K17" s="23">
        <f>IF(I17="","",TDIST(ABS(I17),J17,2))</f>
        <v/>
      </c>
      <c r="L17" s="24">
        <f>IF(D17="","",TEXT(D17,"0.00")&amp;"±"&amp;IF(E17="","",TEXT(E17,"0.00")))</f>
        <v/>
      </c>
      <c r="M17" s="24">
        <f>IF(F17="","",TEXT(F17,"0.00")&amp;"±"&amp;IF(G17="","",TEXT(G17,"0.00")))</f>
        <v/>
      </c>
      <c r="N17" s="24">
        <f>IF(K17="","",TEXT(I17,"0.000")&amp;" ("&amp;IF(K17&lt;0.001,"&lt;.001",TEXT(K17,".000"))&amp;")")</f>
        <v/>
      </c>
    </row>
    <row r="18">
      <c r="A18" s="19" t="inlineStr"/>
      <c r="B18" s="19" t="inlineStr">
        <is>
          <t>통제군</t>
        </is>
      </c>
      <c r="C18" s="20">
        <f>SUMPRODUCT(('입력'!$B$5:$B$34=2)*ISNUMBER('입력'!$K$5:$K$34)*ISNUMBER('입력'!$L$5:$L$34))</f>
        <v/>
      </c>
      <c r="D18" s="21">
        <f t="array" ref="D18">IF(C18&lt;1,"",AVERAGE(IF(('입력'!$B$5:$B$34=2)*ISNUMBER('입력'!$K$5:$K$34)*ISNUMBER('입력'!$L$5:$L$34),'입력'!$K$5:$K$34)))</f>
        <v/>
      </c>
      <c r="E18" s="21">
        <f t="array" ref="E18">IF(C18&lt;2,"",STDEV(IF(('입력'!$B$5:$B$34=2)*ISNUMBER('입력'!$K$5:$K$34)*ISNUMBER('입력'!$L$5:$L$34),'입력'!$K$5:$K$34)))</f>
        <v/>
      </c>
      <c r="F18" s="21">
        <f t="array" ref="F18">IF(C18&lt;1,"",AVERAGE(IF(('입력'!$B$5:$B$34=2)*ISNUMBER('입력'!$K$5:$K$34)*ISNUMBER('입력'!$L$5:$L$34),'입력'!$L$5:$L$34)))</f>
        <v/>
      </c>
      <c r="G18" s="21">
        <f t="array" ref="G18">IF(C18&lt;2,"",STDEV(IF(('입력'!$B$5:$B$34=2)*ISNUMBER('입력'!$K$5:$K$34)*ISNUMBER('입력'!$L$5:$L$34),'입력'!$L$5:$L$34)))</f>
        <v/>
      </c>
      <c r="H18" s="21">
        <f t="array" ref="H18">IF(C18&lt;2,"",STDEV(IF(('입력'!$B$5:$B$34=2)*ISNUMBER('입력'!$K$5:$K$34)*ISNUMBER('입력'!$L$5:$L$34),'입력'!$L$5:$L$34-'입력'!$K$5:$K$34)))</f>
        <v/>
      </c>
      <c r="I18" s="22">
        <f>IF(OR(C18&lt;2,H18=""),"",IF(ROUND(H18,10)=0,"",(D18-F18)/(H18/SQRT(C18))))</f>
        <v/>
      </c>
      <c r="J18" s="20">
        <f>IF(I18="","",C18-1)</f>
        <v/>
      </c>
      <c r="K18" s="23">
        <f>IF(I18="","",TDIST(ABS(I18),J18,2))</f>
        <v/>
      </c>
      <c r="L18" s="24">
        <f>IF(D18="","",TEXT(D18,"0.00")&amp;"±"&amp;IF(E18="","",TEXT(E18,"0.00")))</f>
        <v/>
      </c>
      <c r="M18" s="24">
        <f>IF(F18="","",TEXT(F18,"0.00")&amp;"±"&amp;IF(G18="","",TEXT(G18,"0.00")))</f>
        <v/>
      </c>
      <c r="N18" s="24">
        <f>IF(K18="","",TEXT(I18,"0.000")&amp;" ("&amp;IF(K18&lt;0.001,"&lt;.001",TEXT(K18,".000"))&amp;")")</f>
        <v/>
      </c>
    </row>
    <row r="19">
      <c r="A19" s="19" t="inlineStr">
        <is>
          <t>Shoulder Mobility</t>
        </is>
      </c>
      <c r="B19" s="19" t="inlineStr">
        <is>
          <t>실험군</t>
        </is>
      </c>
      <c r="C19" s="20">
        <f>SUMPRODUCT(('입력'!$B$5:$B$34=1)*ISNUMBER('입력'!$M$5:$M$34)*ISNUMBER('입력'!$N$5:$N$34))</f>
        <v/>
      </c>
      <c r="D19" s="21">
        <f t="array" ref="D19">IF(C19&lt;1,"",AVERAGE(IF(('입력'!$B$5:$B$34=1)*ISNUMBER('입력'!$M$5:$M$34)*ISNUMBER('입력'!$N$5:$N$34),'입력'!$M$5:$M$34)))</f>
        <v/>
      </c>
      <c r="E19" s="21">
        <f t="array" ref="E19">IF(C19&lt;2,"",STDEV(IF(('입력'!$B$5:$B$34=1)*ISNUMBER('입력'!$M$5:$M$34)*ISNUMBER('입력'!$N$5:$N$34),'입력'!$M$5:$M$34)))</f>
        <v/>
      </c>
      <c r="F19" s="21">
        <f t="array" ref="F19">IF(C19&lt;1,"",AVERAGE(IF(('입력'!$B$5:$B$34=1)*ISNUMBER('입력'!$M$5:$M$34)*ISNUMBER('입력'!$N$5:$N$34),'입력'!$N$5:$N$34)))</f>
        <v/>
      </c>
      <c r="G19" s="21">
        <f t="array" ref="G19">IF(C19&lt;2,"",STDEV(IF(('입력'!$B$5:$B$34=1)*ISNUMBER('입력'!$M$5:$M$34)*ISNUMBER('입력'!$N$5:$N$34),'입력'!$N$5:$N$34)))</f>
        <v/>
      </c>
      <c r="H19" s="21">
        <f t="array" ref="H19">IF(C19&lt;2,"",STDEV(IF(('입력'!$B$5:$B$34=1)*ISNUMBER('입력'!$M$5:$M$34)*ISNUMBER('입력'!$N$5:$N$34),'입력'!$N$5:$N$34-'입력'!$M$5:$M$34)))</f>
        <v/>
      </c>
      <c r="I19" s="22">
        <f>IF(OR(C19&lt;2,H19=""),"",IF(ROUND(H19,10)=0,"",(D19-F19)/(H19/SQRT(C19))))</f>
        <v/>
      </c>
      <c r="J19" s="20">
        <f>IF(I19="","",C19-1)</f>
        <v/>
      </c>
      <c r="K19" s="23">
        <f>IF(I19="","",TDIST(ABS(I19),J19,2))</f>
        <v/>
      </c>
      <c r="L19" s="24">
        <f>IF(D19="","",TEXT(D19,"0.00")&amp;"±"&amp;IF(E19="","",TEXT(E19,"0.00")))</f>
        <v/>
      </c>
      <c r="M19" s="24">
        <f>IF(F19="","",TEXT(F19,"0.00")&amp;"±"&amp;IF(G19="","",TEXT(G19,"0.00")))</f>
        <v/>
      </c>
      <c r="N19" s="24">
        <f>IF(K19="","",TEXT(I19,"0.000")&amp;" ("&amp;IF(K19&lt;0.001,"&lt;.001",TEXT(K19,".000"))&amp;")")</f>
        <v/>
      </c>
    </row>
    <row r="20">
      <c r="A20" s="19" t="inlineStr"/>
      <c r="B20" s="19" t="inlineStr">
        <is>
          <t>통제군</t>
        </is>
      </c>
      <c r="C20" s="20">
        <f>SUMPRODUCT(('입력'!$B$5:$B$34=2)*ISNUMBER('입력'!$M$5:$M$34)*ISNUMBER('입력'!$N$5:$N$34))</f>
        <v/>
      </c>
      <c r="D20" s="21">
        <f t="array" ref="D20">IF(C20&lt;1,"",AVERAGE(IF(('입력'!$B$5:$B$34=2)*ISNUMBER('입력'!$M$5:$M$34)*ISNUMBER('입력'!$N$5:$N$34),'입력'!$M$5:$M$34)))</f>
        <v/>
      </c>
      <c r="E20" s="21">
        <f t="array" ref="E20">IF(C20&lt;2,"",STDEV(IF(('입력'!$B$5:$B$34=2)*ISNUMBER('입력'!$M$5:$M$34)*ISNUMBER('입력'!$N$5:$N$34),'입력'!$M$5:$M$34)))</f>
        <v/>
      </c>
      <c r="F20" s="21">
        <f t="array" ref="F20">IF(C20&lt;1,"",AVERAGE(IF(('입력'!$B$5:$B$34=2)*ISNUMBER('입력'!$M$5:$M$34)*ISNUMBER('입력'!$N$5:$N$34),'입력'!$N$5:$N$34)))</f>
        <v/>
      </c>
      <c r="G20" s="21">
        <f t="array" ref="G20">IF(C20&lt;2,"",STDEV(IF(('입력'!$B$5:$B$34=2)*ISNUMBER('입력'!$M$5:$M$34)*ISNUMBER('입력'!$N$5:$N$34),'입력'!$N$5:$N$34)))</f>
        <v/>
      </c>
      <c r="H20" s="21">
        <f t="array" ref="H20">IF(C20&lt;2,"",STDEV(IF(('입력'!$B$5:$B$34=2)*ISNUMBER('입력'!$M$5:$M$34)*ISNUMBER('입력'!$N$5:$N$34),'입력'!$N$5:$N$34-'입력'!$M$5:$M$34)))</f>
        <v/>
      </c>
      <c r="I20" s="22">
        <f>IF(OR(C20&lt;2,H20=""),"",IF(ROUND(H20,10)=0,"",(D20-F20)/(H20/SQRT(C20))))</f>
        <v/>
      </c>
      <c r="J20" s="20">
        <f>IF(I20="","",C20-1)</f>
        <v/>
      </c>
      <c r="K20" s="23">
        <f>IF(I20="","",TDIST(ABS(I20),J20,2))</f>
        <v/>
      </c>
      <c r="L20" s="24">
        <f>IF(D20="","",TEXT(D20,"0.00")&amp;"±"&amp;IF(E20="","",TEXT(E20,"0.00")))</f>
        <v/>
      </c>
      <c r="M20" s="24">
        <f>IF(F20="","",TEXT(F20,"0.00")&amp;"±"&amp;IF(G20="","",TEXT(G20,"0.00")))</f>
        <v/>
      </c>
      <c r="N20" s="24">
        <f>IF(K20="","",TEXT(I20,"0.000")&amp;" ("&amp;IF(K20&lt;0.001,"&lt;.001",TEXT(K20,".000"))&amp;")")</f>
        <v/>
      </c>
    </row>
    <row r="21">
      <c r="A21" s="19" t="inlineStr">
        <is>
          <t>Active Straight Leg Raise</t>
        </is>
      </c>
      <c r="B21" s="19" t="inlineStr">
        <is>
          <t>실험군</t>
        </is>
      </c>
      <c r="C21" s="20">
        <f>SUMPRODUCT(('입력'!$B$5:$B$34=1)*ISNUMBER('입력'!$O$5:$O$34)*ISNUMBER('입력'!$P$5:$P$34))</f>
        <v/>
      </c>
      <c r="D21" s="21">
        <f t="array" ref="D21">IF(C21&lt;1,"",AVERAGE(IF(('입력'!$B$5:$B$34=1)*ISNUMBER('입력'!$O$5:$O$34)*ISNUMBER('입력'!$P$5:$P$34),'입력'!$O$5:$O$34)))</f>
        <v/>
      </c>
      <c r="E21" s="21">
        <f t="array" ref="E21">IF(C21&lt;2,"",STDEV(IF(('입력'!$B$5:$B$34=1)*ISNUMBER('입력'!$O$5:$O$34)*ISNUMBER('입력'!$P$5:$P$34),'입력'!$O$5:$O$34)))</f>
        <v/>
      </c>
      <c r="F21" s="21">
        <f t="array" ref="F21">IF(C21&lt;1,"",AVERAGE(IF(('입력'!$B$5:$B$34=1)*ISNUMBER('입력'!$O$5:$O$34)*ISNUMBER('입력'!$P$5:$P$34),'입력'!$P$5:$P$34)))</f>
        <v/>
      </c>
      <c r="G21" s="21">
        <f t="array" ref="G21">IF(C21&lt;2,"",STDEV(IF(('입력'!$B$5:$B$34=1)*ISNUMBER('입력'!$O$5:$O$34)*ISNUMBER('입력'!$P$5:$P$34),'입력'!$P$5:$P$34)))</f>
        <v/>
      </c>
      <c r="H21" s="21">
        <f t="array" ref="H21">IF(C21&lt;2,"",STDEV(IF(('입력'!$B$5:$B$34=1)*ISNUMBER('입력'!$O$5:$O$34)*ISNUMBER('입력'!$P$5:$P$34),'입력'!$P$5:$P$34-'입력'!$O$5:$O$34)))</f>
        <v/>
      </c>
      <c r="I21" s="22">
        <f>IF(OR(C21&lt;2,H21=""),"",IF(ROUND(H21,10)=0,"",(D21-F21)/(H21/SQRT(C21))))</f>
        <v/>
      </c>
      <c r="J21" s="20">
        <f>IF(I21="","",C21-1)</f>
        <v/>
      </c>
      <c r="K21" s="23">
        <f>IF(I21="","",TDIST(ABS(I21),J21,2))</f>
        <v/>
      </c>
      <c r="L21" s="24">
        <f>IF(D21="","",TEXT(D21,"0.00")&amp;"±"&amp;IF(E21="","",TEXT(E21,"0.00")))</f>
        <v/>
      </c>
      <c r="M21" s="24">
        <f>IF(F21="","",TEXT(F21,"0.00")&amp;"±"&amp;IF(G21="","",TEXT(G21,"0.00")))</f>
        <v/>
      </c>
      <c r="N21" s="24">
        <f>IF(K21="","",TEXT(I21,"0.000")&amp;" ("&amp;IF(K21&lt;0.001,"&lt;.001",TEXT(K21,".000"))&amp;")")</f>
        <v/>
      </c>
    </row>
    <row r="22">
      <c r="A22" s="19" t="inlineStr"/>
      <c r="B22" s="19" t="inlineStr">
        <is>
          <t>통제군</t>
        </is>
      </c>
      <c r="C22" s="20">
        <f>SUMPRODUCT(('입력'!$B$5:$B$34=2)*ISNUMBER('입력'!$O$5:$O$34)*ISNUMBER('입력'!$P$5:$P$34))</f>
        <v/>
      </c>
      <c r="D22" s="21">
        <f t="array" ref="D22">IF(C22&lt;1,"",AVERAGE(IF(('입력'!$B$5:$B$34=2)*ISNUMBER('입력'!$O$5:$O$34)*ISNUMBER('입력'!$P$5:$P$34),'입력'!$O$5:$O$34)))</f>
        <v/>
      </c>
      <c r="E22" s="21">
        <f t="array" ref="E22">IF(C22&lt;2,"",STDEV(IF(('입력'!$B$5:$B$34=2)*ISNUMBER('입력'!$O$5:$O$34)*ISNUMBER('입력'!$P$5:$P$34),'입력'!$O$5:$O$34)))</f>
        <v/>
      </c>
      <c r="F22" s="21">
        <f t="array" ref="F22">IF(C22&lt;1,"",AVERAGE(IF(('입력'!$B$5:$B$34=2)*ISNUMBER('입력'!$O$5:$O$34)*ISNUMBER('입력'!$P$5:$P$34),'입력'!$P$5:$P$34)))</f>
        <v/>
      </c>
      <c r="G22" s="21">
        <f t="array" ref="G22">IF(C22&lt;2,"",STDEV(IF(('입력'!$B$5:$B$34=2)*ISNUMBER('입력'!$O$5:$O$34)*ISNUMBER('입력'!$P$5:$P$34),'입력'!$P$5:$P$34)))</f>
        <v/>
      </c>
      <c r="H22" s="21">
        <f t="array" ref="H22">IF(C22&lt;2,"",STDEV(IF(('입력'!$B$5:$B$34=2)*ISNUMBER('입력'!$O$5:$O$34)*ISNUMBER('입력'!$P$5:$P$34),'입력'!$P$5:$P$34-'입력'!$O$5:$O$34)))</f>
        <v/>
      </c>
      <c r="I22" s="22">
        <f>IF(OR(C22&lt;2,H22=""),"",IF(ROUND(H22,10)=0,"",(D22-F22)/(H22/SQRT(C22))))</f>
        <v/>
      </c>
      <c r="J22" s="20">
        <f>IF(I22="","",C22-1)</f>
        <v/>
      </c>
      <c r="K22" s="23">
        <f>IF(I22="","",TDIST(ABS(I22),J22,2))</f>
        <v/>
      </c>
      <c r="L22" s="24">
        <f>IF(D22="","",TEXT(D22,"0.00")&amp;"±"&amp;IF(E22="","",TEXT(E22,"0.00")))</f>
        <v/>
      </c>
      <c r="M22" s="24">
        <f>IF(F22="","",TEXT(F22,"0.00")&amp;"±"&amp;IF(G22="","",TEXT(G22,"0.00")))</f>
        <v/>
      </c>
      <c r="N22" s="24">
        <f>IF(K22="","",TEXT(I22,"0.000")&amp;" ("&amp;IF(K22&lt;0.001,"&lt;.001",TEXT(K22,".000"))&amp;")")</f>
        <v/>
      </c>
    </row>
    <row r="23">
      <c r="A23" s="19" t="inlineStr">
        <is>
          <t>Trunk Stability Push-up</t>
        </is>
      </c>
      <c r="B23" s="19" t="inlineStr">
        <is>
          <t>실험군</t>
        </is>
      </c>
      <c r="C23" s="20">
        <f>SUMPRODUCT(('입력'!$B$5:$B$34=1)*ISNUMBER('입력'!$Q$5:$Q$34)*ISNUMBER('입력'!$R$5:$R$34))</f>
        <v/>
      </c>
      <c r="D23" s="21">
        <f t="array" ref="D23">IF(C23&lt;1,"",AVERAGE(IF(('입력'!$B$5:$B$34=1)*ISNUMBER('입력'!$Q$5:$Q$34)*ISNUMBER('입력'!$R$5:$R$34),'입력'!$Q$5:$Q$34)))</f>
        <v/>
      </c>
      <c r="E23" s="21">
        <f t="array" ref="E23">IF(C23&lt;2,"",STDEV(IF(('입력'!$B$5:$B$34=1)*ISNUMBER('입력'!$Q$5:$Q$34)*ISNUMBER('입력'!$R$5:$R$34),'입력'!$Q$5:$Q$34)))</f>
        <v/>
      </c>
      <c r="F23" s="21">
        <f t="array" ref="F23">IF(C23&lt;1,"",AVERAGE(IF(('입력'!$B$5:$B$34=1)*ISNUMBER('입력'!$Q$5:$Q$34)*ISNUMBER('입력'!$R$5:$R$34),'입력'!$R$5:$R$34)))</f>
        <v/>
      </c>
      <c r="G23" s="21">
        <f t="array" ref="G23">IF(C23&lt;2,"",STDEV(IF(('입력'!$B$5:$B$34=1)*ISNUMBER('입력'!$Q$5:$Q$34)*ISNUMBER('입력'!$R$5:$R$34),'입력'!$R$5:$R$34)))</f>
        <v/>
      </c>
      <c r="H23" s="21">
        <f t="array" ref="H23">IF(C23&lt;2,"",STDEV(IF(('입력'!$B$5:$B$34=1)*ISNUMBER('입력'!$Q$5:$Q$34)*ISNUMBER('입력'!$R$5:$R$34),'입력'!$R$5:$R$34-'입력'!$Q$5:$Q$34)))</f>
        <v/>
      </c>
      <c r="I23" s="22">
        <f>IF(OR(C23&lt;2,H23=""),"",IF(ROUND(H23,10)=0,"",(D23-F23)/(H23/SQRT(C23))))</f>
        <v/>
      </c>
      <c r="J23" s="20">
        <f>IF(I23="","",C23-1)</f>
        <v/>
      </c>
      <c r="K23" s="23">
        <f>IF(I23="","",TDIST(ABS(I23),J23,2))</f>
        <v/>
      </c>
      <c r="L23" s="24">
        <f>IF(D23="","",TEXT(D23,"0.00")&amp;"±"&amp;IF(E23="","",TEXT(E23,"0.00")))</f>
        <v/>
      </c>
      <c r="M23" s="24">
        <f>IF(F23="","",TEXT(F23,"0.00")&amp;"±"&amp;IF(G23="","",TEXT(G23,"0.00")))</f>
        <v/>
      </c>
      <c r="N23" s="24">
        <f>IF(K23="","",TEXT(I23,"0.000")&amp;" ("&amp;IF(K23&lt;0.001,"&lt;.001",TEXT(K23,".000"))&amp;")")</f>
        <v/>
      </c>
    </row>
    <row r="24">
      <c r="A24" s="19" t="inlineStr"/>
      <c r="B24" s="19" t="inlineStr">
        <is>
          <t>통제군</t>
        </is>
      </c>
      <c r="C24" s="20">
        <f>SUMPRODUCT(('입력'!$B$5:$B$34=2)*ISNUMBER('입력'!$Q$5:$Q$34)*ISNUMBER('입력'!$R$5:$R$34))</f>
        <v/>
      </c>
      <c r="D24" s="21">
        <f t="array" ref="D24">IF(C24&lt;1,"",AVERAGE(IF(('입력'!$B$5:$B$34=2)*ISNUMBER('입력'!$Q$5:$Q$34)*ISNUMBER('입력'!$R$5:$R$34),'입력'!$Q$5:$Q$34)))</f>
        <v/>
      </c>
      <c r="E24" s="21">
        <f t="array" ref="E24">IF(C24&lt;2,"",STDEV(IF(('입력'!$B$5:$B$34=2)*ISNUMBER('입력'!$Q$5:$Q$34)*ISNUMBER('입력'!$R$5:$R$34),'입력'!$Q$5:$Q$34)))</f>
        <v/>
      </c>
      <c r="F24" s="21">
        <f t="array" ref="F24">IF(C24&lt;1,"",AVERAGE(IF(('입력'!$B$5:$B$34=2)*ISNUMBER('입력'!$Q$5:$Q$34)*ISNUMBER('입력'!$R$5:$R$34),'입력'!$R$5:$R$34)))</f>
        <v/>
      </c>
      <c r="G24" s="21">
        <f t="array" ref="G24">IF(C24&lt;2,"",STDEV(IF(('입력'!$B$5:$B$34=2)*ISNUMBER('입력'!$Q$5:$Q$34)*ISNUMBER('입력'!$R$5:$R$34),'입력'!$R$5:$R$34)))</f>
        <v/>
      </c>
      <c r="H24" s="21">
        <f t="array" ref="H24">IF(C24&lt;2,"",STDEV(IF(('입력'!$B$5:$B$34=2)*ISNUMBER('입력'!$Q$5:$Q$34)*ISNUMBER('입력'!$R$5:$R$34),'입력'!$R$5:$R$34-'입력'!$Q$5:$Q$34)))</f>
        <v/>
      </c>
      <c r="I24" s="22">
        <f>IF(OR(C24&lt;2,H24=""),"",IF(ROUND(H24,10)=0,"",(D24-F24)/(H24/SQRT(C24))))</f>
        <v/>
      </c>
      <c r="J24" s="20">
        <f>IF(I24="","",C24-1)</f>
        <v/>
      </c>
      <c r="K24" s="23">
        <f>IF(I24="","",TDIST(ABS(I24),J24,2))</f>
        <v/>
      </c>
      <c r="L24" s="24">
        <f>IF(D24="","",TEXT(D24,"0.00")&amp;"±"&amp;IF(E24="","",TEXT(E24,"0.00")))</f>
        <v/>
      </c>
      <c r="M24" s="24">
        <f>IF(F24="","",TEXT(F24,"0.00")&amp;"±"&amp;IF(G24="","",TEXT(G24,"0.00")))</f>
        <v/>
      </c>
      <c r="N24" s="24">
        <f>IF(K24="","",TEXT(I24,"0.000")&amp;" ("&amp;IF(K24&lt;0.001,"&lt;.001",TEXT(K24,".000"))&amp;")")</f>
        <v/>
      </c>
    </row>
    <row r="25">
      <c r="A25" s="19" t="inlineStr">
        <is>
          <t>Rotary Stability</t>
        </is>
      </c>
      <c r="B25" s="19" t="inlineStr">
        <is>
          <t>실험군</t>
        </is>
      </c>
      <c r="C25" s="20">
        <f>SUMPRODUCT(('입력'!$B$5:$B$34=1)*ISNUMBER('입력'!$S$5:$S$34)*ISNUMBER('입력'!$T$5:$T$34))</f>
        <v/>
      </c>
      <c r="D25" s="21">
        <f t="array" ref="D25">IF(C25&lt;1,"",AVERAGE(IF(('입력'!$B$5:$B$34=1)*ISNUMBER('입력'!$S$5:$S$34)*ISNUMBER('입력'!$T$5:$T$34),'입력'!$S$5:$S$34)))</f>
        <v/>
      </c>
      <c r="E25" s="21">
        <f t="array" ref="E25">IF(C25&lt;2,"",STDEV(IF(('입력'!$B$5:$B$34=1)*ISNUMBER('입력'!$S$5:$S$34)*ISNUMBER('입력'!$T$5:$T$34),'입력'!$S$5:$S$34)))</f>
        <v/>
      </c>
      <c r="F25" s="21">
        <f t="array" ref="F25">IF(C25&lt;1,"",AVERAGE(IF(('입력'!$B$5:$B$34=1)*ISNUMBER('입력'!$S$5:$S$34)*ISNUMBER('입력'!$T$5:$T$34),'입력'!$T$5:$T$34)))</f>
        <v/>
      </c>
      <c r="G25" s="21">
        <f t="array" ref="G25">IF(C25&lt;2,"",STDEV(IF(('입력'!$B$5:$B$34=1)*ISNUMBER('입력'!$S$5:$S$34)*ISNUMBER('입력'!$T$5:$T$34),'입력'!$T$5:$T$34)))</f>
        <v/>
      </c>
      <c r="H25" s="21">
        <f t="array" ref="H25">IF(C25&lt;2,"",STDEV(IF(('입력'!$B$5:$B$34=1)*ISNUMBER('입력'!$S$5:$S$34)*ISNUMBER('입력'!$T$5:$T$34),'입력'!$T$5:$T$34-'입력'!$S$5:$S$34)))</f>
        <v/>
      </c>
      <c r="I25" s="22">
        <f>IF(OR(C25&lt;2,H25=""),"",IF(ROUND(H25,10)=0,"",(D25-F25)/(H25/SQRT(C25))))</f>
        <v/>
      </c>
      <c r="J25" s="20">
        <f>IF(I25="","",C25-1)</f>
        <v/>
      </c>
      <c r="K25" s="23">
        <f>IF(I25="","",TDIST(ABS(I25),J25,2))</f>
        <v/>
      </c>
      <c r="L25" s="24">
        <f>IF(D25="","",TEXT(D25,"0.00")&amp;"±"&amp;IF(E25="","",TEXT(E25,"0.00")))</f>
        <v/>
      </c>
      <c r="M25" s="24">
        <f>IF(F25="","",TEXT(F25,"0.00")&amp;"±"&amp;IF(G25="","",TEXT(G25,"0.00")))</f>
        <v/>
      </c>
      <c r="N25" s="24">
        <f>IF(K25="","",TEXT(I25,"0.000")&amp;" ("&amp;IF(K25&lt;0.001,"&lt;.001",TEXT(K25,".000"))&amp;")")</f>
        <v/>
      </c>
    </row>
    <row r="26">
      <c r="A26" s="19" t="inlineStr"/>
      <c r="B26" s="19" t="inlineStr">
        <is>
          <t>통제군</t>
        </is>
      </c>
      <c r="C26" s="20">
        <f>SUMPRODUCT(('입력'!$B$5:$B$34=2)*ISNUMBER('입력'!$S$5:$S$34)*ISNUMBER('입력'!$T$5:$T$34))</f>
        <v/>
      </c>
      <c r="D26" s="21">
        <f t="array" ref="D26">IF(C26&lt;1,"",AVERAGE(IF(('입력'!$B$5:$B$34=2)*ISNUMBER('입력'!$S$5:$S$34)*ISNUMBER('입력'!$T$5:$T$34),'입력'!$S$5:$S$34)))</f>
        <v/>
      </c>
      <c r="E26" s="21">
        <f t="array" ref="E26">IF(C26&lt;2,"",STDEV(IF(('입력'!$B$5:$B$34=2)*ISNUMBER('입력'!$S$5:$S$34)*ISNUMBER('입력'!$T$5:$T$34),'입력'!$S$5:$S$34)))</f>
        <v/>
      </c>
      <c r="F26" s="21">
        <f t="array" ref="F26">IF(C26&lt;1,"",AVERAGE(IF(('입력'!$B$5:$B$34=2)*ISNUMBER('입력'!$S$5:$S$34)*ISNUMBER('입력'!$T$5:$T$34),'입력'!$T$5:$T$34)))</f>
        <v/>
      </c>
      <c r="G26" s="21">
        <f t="array" ref="G26">IF(C26&lt;2,"",STDEV(IF(('입력'!$B$5:$B$34=2)*ISNUMBER('입력'!$S$5:$S$34)*ISNUMBER('입력'!$T$5:$T$34),'입력'!$T$5:$T$34)))</f>
        <v/>
      </c>
      <c r="H26" s="21">
        <f t="array" ref="H26">IF(C26&lt;2,"",STDEV(IF(('입력'!$B$5:$B$34=2)*ISNUMBER('입력'!$S$5:$S$34)*ISNUMBER('입력'!$T$5:$T$34),'입력'!$T$5:$T$34-'입력'!$S$5:$S$34)))</f>
        <v/>
      </c>
      <c r="I26" s="22">
        <f>IF(OR(C26&lt;2,H26=""),"",IF(ROUND(H26,10)=0,"",(D26-F26)/(H26/SQRT(C26))))</f>
        <v/>
      </c>
      <c r="J26" s="20">
        <f>IF(I26="","",C26-1)</f>
        <v/>
      </c>
      <c r="K26" s="23">
        <f>IF(I26="","",TDIST(ABS(I26),J26,2))</f>
        <v/>
      </c>
      <c r="L26" s="24">
        <f>IF(D26="","",TEXT(D26,"0.00")&amp;"±"&amp;IF(E26="","",TEXT(E26,"0.00")))</f>
        <v/>
      </c>
      <c r="M26" s="24">
        <f>IF(F26="","",TEXT(F26,"0.00")&amp;"±"&amp;IF(G26="","",TEXT(G26,"0.00")))</f>
        <v/>
      </c>
      <c r="N26" s="24">
        <f>IF(K26="","",TEXT(I26,"0.000")&amp;" ("&amp;IF(K26&lt;0.001,"&lt;.001",TEXT(K26,".000"))&amp;")")</f>
        <v/>
      </c>
    </row>
    <row r="27">
      <c r="A27" s="27" t="inlineStr">
        <is>
          <t>FMS 하위항목은 0–3점 서열척도이므로 논문에서는 Wilcoxon 부호순위검정을 권합니다. 이 시트의 p는 참고용 대응표본 t검정 값입니다.</t>
        </is>
      </c>
    </row>
  </sheetData>
  <mergeCells count="11">
    <mergeCell ref="Q8:Q9"/>
    <mergeCell ref="O8:O9"/>
    <mergeCell ref="P8:P9"/>
    <mergeCell ref="R8:R9"/>
    <mergeCell ref="S8:S9"/>
    <mergeCell ref="P6:P7"/>
    <mergeCell ref="R6:R7"/>
    <mergeCell ref="Q6:Q7"/>
    <mergeCell ref="O6:O7"/>
    <mergeCell ref="S6:S7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2026-10-27T09:52:35Z</dcterms:created>
  <dcterms:modified xmlns:dcterms="http://purl.org/dc/terms/" xmlns:xsi="http://www.w3.org/2001/XMLSchema-instance" xsi:type="dcterms:W3CDTF">2026-10-27T09:52:35Z</dcterms:modified>
</cp:coreProperties>
</file>