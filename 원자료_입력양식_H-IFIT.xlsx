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연구정보" sheetId="2" state="visible" r:id="rId2"/>
    <sheet xmlns:r="http://schemas.openxmlformats.org/officeDocument/2006/relationships" name="대상자_VO2max" sheetId="3" state="visible" r:id="rId3"/>
    <sheet xmlns:r="http://schemas.openxmlformats.org/officeDocument/2006/relationships" name="FMS" sheetId="4" state="visible" r:id="rId4"/>
    <sheet xmlns:r="http://schemas.openxmlformats.org/officeDocument/2006/relationships" name="FMS_평가자2" sheetId="5" state="visible" r:id="rId5"/>
    <sheet xmlns:r="http://schemas.openxmlformats.org/officeDocument/2006/relationships" name="출석_훈련기록" sheetId="6" state="visible" r:id="rId6"/>
    <sheet xmlns:r="http://schemas.openxmlformats.org/officeDocument/2006/relationships" name="주차별_프로그램" sheetId="7" state="visible" r:id="rId7"/>
    <sheet xmlns:r="http://schemas.openxmlformats.org/officeDocument/2006/relationships" name="대상자_흐름" sheetId="8" state="visible" r:id="rId8"/>
    <sheet xmlns:r="http://schemas.openxmlformats.org/officeDocument/2006/relationships" name="자동검산" sheetId="9" state="visible" r:id="rId9"/>
    <sheet xmlns:r="http://schemas.openxmlformats.org/officeDocument/2006/relationships" name="수정기록" sheetId="10" state="visible" r:id="rId10"/>
  </sheets>
  <definedNames>
    <definedName name="grp">'대상자_VO2max'!$B$4:$B$33</definedName>
    <definedName name="inc">'대상자_VO2max'!$D$4:$D$33</definedName>
    <definedName name="vo2_pre">'대상자_VO2max'!$O$4:$O$33</definedName>
    <definedName name="vo2_post">'대상자_VO2max'!$X$4:$X$33</definedName>
    <definedName name="d_vo2">'대상자_VO2max'!$AF$4:$AF$33</definedName>
    <definedName name="wt_pre">'대상자_VO2max'!$N$4:$N$33</definedName>
    <definedName name="wt_post">'대상자_VO2max'!$W$4:$W$33</definedName>
    <definedName name="d_wt">'대상자_VO2max'!$AH$4:$AH$33</definedName>
    <definedName name="age">'대상자_VO2max'!$I$4:$I$33</definedName>
    <definedName name="height">'대상자_VO2max'!$J$4:$J$33</definedName>
    <definedName name="career">'대상자_VO2max'!$L$4:$L$33</definedName>
    <definedName name="sex">'대상자_VO2max'!$H$4:$H$33</definedName>
    <definedName name="grp_f">'FMS'!$B$4:$B$33</definedName>
    <definedName name="inc_f">'FMS'!$C$4:$C$33</definedName>
    <definedName name="fms_pre">'FMS'!$BI$4:$BI$33</definedName>
    <definedName name="fms_post">'FMS'!$BJ$4:$BJ$33</definedName>
    <definedName name="d_fms">'FMS'!$BK$4:$BK$33</definedName>
    <definedName name="fms_avg_pre">'FMS'!$BP$4:$BP$33</definedName>
    <definedName name="fms_avg_post">'FMS'!$BQ$4:$BQ$33</definedName>
    <definedName name="d_fms_avg">'FMS'!$BR$4:$BR$33</definedName>
    <definedName name="asym_pre">'FMS'!$AW$4:$AW$33</definedName>
    <definedName name="asym_post">'FMS'!$BG$4:$BG$33</definedName>
    <definedName name="DS_pre_s">'FMS'!$AO$4:$AO$33</definedName>
    <definedName name="DS_post_s">'FMS'!$AY$4:$AY$33</definedName>
    <definedName name="HS_pre_s">'FMS'!$AP$4:$AP$33</definedName>
    <definedName name="HS_post_s">'FMS'!$AZ$4:$AZ$33</definedName>
    <definedName name="ILL_pre_s">'FMS'!$AQ$4:$AQ$33</definedName>
    <definedName name="ILL_post_s">'FMS'!$BA$4:$BA$33</definedName>
    <definedName name="SM_pre_s">'FMS'!$AR$4:$AR$33</definedName>
    <definedName name="SM_post_s">'FMS'!$BB$4:$BB$33</definedName>
    <definedName name="ASLR_pre_s">'FMS'!$AS$4:$AS$33</definedName>
    <definedName name="ASLR_post_s">'FMS'!$BC$4:$BC$33</definedName>
    <definedName name="TSPU_pre_s">'FMS'!$AT$4:$AT$33</definedName>
    <definedName name="TSPU_post_s">'FMS'!$BD$4:$BD$33</definedName>
    <definedName name="RS_pre_s">'FMS'!$AU$4:$AU$33</definedName>
    <definedName name="RS_post_s">'FMS'!$BE$4:$BE$33</definedName>
  </definedNames>
  <calcPr calcId="124519" fullCalcOnLoad="1"/>
</workbook>
</file>

<file path=xl/styles.xml><?xml version="1.0" encoding="utf-8"?>
<styleSheet xmlns="http://schemas.openxmlformats.org/spreadsheetml/2006/main">
  <numFmts count="6">
    <numFmt numFmtId="164" formatCode="0.0"/>
    <numFmt numFmtId="165" formatCode="yyyy-mm-dd"/>
    <numFmt numFmtId="166" formatCode="0.0%"/>
    <numFmt numFmtId="167" formatCode="+0.0;-0.0;0.0"/>
    <numFmt numFmtId="168" formatCode="0.000"/>
    <numFmt numFmtId="169" formatCode="0.0000"/>
  </numFmts>
  <fonts count="13">
    <font>
      <name val="Calibri"/>
      <family val="2"/>
      <color theme="1"/>
      <sz val="11"/>
      <scheme val="minor"/>
    </font>
    <font>
      <name val="맑은 고딕"/>
      <b val="1"/>
      <color rgb="00FFFFFF"/>
      <sz val="9"/>
    </font>
    <font>
      <name val="맑은 고딕"/>
      <b val="1"/>
      <sz val="10"/>
    </font>
    <font>
      <name val="맑은 고딕"/>
      <i val="1"/>
      <color rgb="007F7F7F"/>
      <sz val="10"/>
    </font>
    <font>
      <name val="맑은 고딕"/>
      <color rgb="000000FF"/>
      <sz val="10"/>
    </font>
    <font>
      <name val="맑은 고딕"/>
      <sz val="10"/>
    </font>
    <font>
      <name val="맑은 고딕"/>
      <color rgb="00595959"/>
      <sz val="9"/>
    </font>
    <font>
      <name val="맑은 고딕"/>
      <b val="1"/>
      <sz val="14"/>
    </font>
    <font>
      <name val="맑은 고딕"/>
      <b val="1"/>
      <color rgb="00FFFFFF"/>
      <sz val="10"/>
    </font>
    <font>
      <name val="맑은 고딕"/>
      <b val="1"/>
      <sz val="11"/>
    </font>
    <font>
      <name val="맑은 고딕"/>
      <b val="1"/>
      <color rgb="00C00000"/>
      <sz val="10"/>
    </font>
    <font>
      <name val="맑은 고딕"/>
      <b val="1"/>
      <sz val="16"/>
    </font>
    <font>
      <name val="맑은 고딕"/>
      <b val="1"/>
      <color rgb="000000FF"/>
      <sz val="10"/>
    </font>
  </fonts>
  <fills count="11">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FF2CC"/>
      </patternFill>
    </fill>
    <fill>
      <patternFill patternType="solid">
        <fgColor rgb="00E7E6E6"/>
      </patternFill>
    </fill>
    <fill>
      <patternFill patternType="solid">
        <fgColor rgb="00DDEBF7"/>
      </patternFill>
    </fill>
    <fill>
      <patternFill patternType="solid">
        <fgColor rgb="00E2EFDA"/>
      </patternFill>
    </fill>
    <fill>
      <patternFill patternType="solid">
        <fgColor rgb="00F8CBAD"/>
      </patternFill>
    </fill>
    <fill>
      <patternFill patternType="solid">
        <fgColor rgb="00BDD7E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0">
    <xf numFmtId="0" fontId="0" fillId="0" borderId="0" pivotButton="0" quotePrefix="0" xfId="0"/>
    <xf numFmtId="0" fontId="11" fillId="0" borderId="0" pivotButton="0" quotePrefix="0" xfId="0"/>
    <xf numFmtId="0" fontId="6" fillId="0" borderId="0" pivotButton="0" quotePrefix="0" xfId="0"/>
    <xf numFmtId="0" fontId="8" fillId="2" borderId="0" pivotButton="0" quotePrefix="0" xfId="0"/>
    <xf numFmtId="0" fontId="2" fillId="0" borderId="0" applyAlignment="1" pivotButton="0" quotePrefix="0" xfId="0">
      <alignment vertical="center" wrapText="1"/>
    </xf>
    <xf numFmtId="0" fontId="5" fillId="0" borderId="0" applyAlignment="1" pivotButton="0" quotePrefix="0" xfId="0">
      <alignment vertical="center" wrapText="1"/>
    </xf>
    <xf numFmtId="0" fontId="10" fillId="0" borderId="0" applyAlignment="1" pivotButton="0" quotePrefix="0" xfId="0">
      <alignment vertical="center" wrapText="1"/>
    </xf>
    <xf numFmtId="0" fontId="12" fillId="5" borderId="0" applyAlignment="1" pivotButton="0" quotePrefix="0" xfId="0">
      <alignment vertical="center" wrapText="1"/>
    </xf>
    <xf numFmtId="0" fontId="2" fillId="6" borderId="0" applyAlignment="1" pivotButton="0" quotePrefix="0" xfId="0">
      <alignment vertical="center" wrapText="1"/>
    </xf>
    <xf numFmtId="0" fontId="2" fillId="4"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7" fillId="0" borderId="0" pivotButton="0" quotePrefix="0" xfId="0"/>
    <xf numFmtId="0" fontId="6" fillId="0" borderId="0" applyAlignment="1" pivotButton="0" quotePrefix="0" xfId="0">
      <alignment vertical="center" wrapText="1"/>
    </xf>
    <xf numFmtId="0" fontId="8"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5" fillId="0" borderId="1" applyAlignment="1" pivotButton="0" quotePrefix="0" xfId="0">
      <alignment horizontal="center" vertical="center" wrapText="1"/>
    </xf>
    <xf numFmtId="0" fontId="5" fillId="0" borderId="1" applyAlignment="1" pivotButton="0" quotePrefix="0" xfId="0">
      <alignment vertical="center" wrapText="1"/>
    </xf>
    <xf numFmtId="0" fontId="4" fillId="5" borderId="1" applyAlignment="1" pivotButton="0" quotePrefix="0" xfId="0">
      <alignment vertical="center" wrapText="1"/>
    </xf>
    <xf numFmtId="0" fontId="6" fillId="0" borderId="1" applyAlignment="1" pivotButton="0" quotePrefix="0" xfId="0">
      <alignment vertical="center" wrapText="1"/>
    </xf>
    <xf numFmtId="0" fontId="4" fillId="5" borderId="1" applyAlignment="1" pivotButton="0" quotePrefix="0" xfId="0">
      <alignment horizontal="center" vertical="center" wrapText="1"/>
    </xf>
    <xf numFmtId="0" fontId="1" fillId="2" borderId="1" applyAlignment="1" pivotButton="0" quotePrefix="0" xfId="0">
      <alignment horizontal="center" vertical="center" shrinkToFit="1"/>
    </xf>
    <xf numFmtId="0" fontId="2" fillId="3"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49" fontId="3" fillId="4" borderId="1" applyAlignment="1" pivotButton="0" quotePrefix="0" xfId="0">
      <alignment horizontal="center" vertical="center"/>
    </xf>
    <xf numFmtId="1" fontId="3" fillId="4" borderId="1" applyAlignment="1" pivotButton="0" quotePrefix="0" xfId="0">
      <alignment horizontal="center" vertical="center"/>
    </xf>
    <xf numFmtId="49" fontId="3" fillId="6" borderId="1" applyAlignment="1" pivotButton="0" quotePrefix="0" xfId="0">
      <alignment horizontal="center" vertical="center"/>
    </xf>
    <xf numFmtId="49" fontId="3" fillId="4" borderId="1" applyAlignment="1" pivotButton="0" quotePrefix="0" xfId="0">
      <alignment horizontal="left" vertical="center" shrinkToFit="1"/>
    </xf>
    <xf numFmtId="164" fontId="3" fillId="4" borderId="1" applyAlignment="1" pivotButton="0" quotePrefix="0" xfId="0">
      <alignment horizontal="center" vertical="center"/>
    </xf>
    <xf numFmtId="2" fontId="3" fillId="4" borderId="1" applyAlignment="1" pivotButton="0" quotePrefix="0" xfId="0">
      <alignment horizontal="center" vertical="center"/>
    </xf>
    <xf numFmtId="165" fontId="3" fillId="4" borderId="1" applyAlignment="1" pivotButton="0" quotePrefix="0" xfId="0">
      <alignment horizontal="center" vertical="center"/>
    </xf>
    <xf numFmtId="2" fontId="3" fillId="6" borderId="1" applyAlignment="1" pivotButton="0" quotePrefix="0" xfId="0">
      <alignment horizontal="center" vertical="center"/>
    </xf>
    <xf numFmtId="166" fontId="3" fillId="6" borderId="1" applyAlignment="1" pivotButton="0" quotePrefix="0" xfId="0">
      <alignment horizontal="center" vertical="center"/>
    </xf>
    <xf numFmtId="164" fontId="3" fillId="6" borderId="1" applyAlignment="1" pivotButton="0" quotePrefix="0" xfId="0">
      <alignment horizontal="center" vertical="center"/>
    </xf>
    <xf numFmtId="1" fontId="3" fillId="6" borderId="1" applyAlignment="1" pivotButton="0" quotePrefix="0" xfId="0">
      <alignment horizontal="center" vertical="center"/>
    </xf>
    <xf numFmtId="49" fontId="3" fillId="6" borderId="1" applyAlignment="1" pivotButton="0" quotePrefix="0" xfId="0">
      <alignment horizontal="left" vertical="center"/>
    </xf>
    <xf numFmtId="49" fontId="4" fillId="5" borderId="1" applyAlignment="1" pivotButton="0" quotePrefix="0" xfId="0">
      <alignment horizontal="center" vertical="center"/>
    </xf>
    <xf numFmtId="1" fontId="4" fillId="5" borderId="1" applyAlignment="1" pivotButton="0" quotePrefix="0" xfId="0">
      <alignment horizontal="center" vertical="center"/>
    </xf>
    <xf numFmtId="49" fontId="5" fillId="6" borderId="1" applyAlignment="1" pivotButton="0" quotePrefix="0" xfId="0">
      <alignment horizontal="center" vertical="center"/>
    </xf>
    <xf numFmtId="49" fontId="4" fillId="5" borderId="1" applyAlignment="1" pivotButton="0" quotePrefix="0" xfId="0">
      <alignment horizontal="left" vertical="center" shrinkToFit="1"/>
    </xf>
    <xf numFmtId="164" fontId="4" fillId="5" borderId="1" applyAlignment="1" pivotButton="0" quotePrefix="0" xfId="0">
      <alignment horizontal="center" vertical="center"/>
    </xf>
    <xf numFmtId="2" fontId="4" fillId="5" borderId="1" applyAlignment="1" pivotButton="0" quotePrefix="0" xfId="0">
      <alignment horizontal="center" vertical="center"/>
    </xf>
    <xf numFmtId="165" fontId="4" fillId="5" borderId="1" applyAlignment="1" pivotButton="0" quotePrefix="0" xfId="0">
      <alignment horizontal="center" vertical="center"/>
    </xf>
    <xf numFmtId="2" fontId="5" fillId="6" borderId="1" applyAlignment="1" pivotButton="0" quotePrefix="0" xfId="0">
      <alignment horizontal="center" vertical="center"/>
    </xf>
    <xf numFmtId="166" fontId="5" fillId="6" borderId="1" applyAlignment="1" pivotButton="0" quotePrefix="0" xfId="0">
      <alignment horizontal="center" vertical="center"/>
    </xf>
    <xf numFmtId="164" fontId="5" fillId="6" borderId="1" applyAlignment="1" pivotButton="0" quotePrefix="0" xfId="0">
      <alignment horizontal="center" vertical="center"/>
    </xf>
    <xf numFmtId="1" fontId="5" fillId="6" borderId="1" applyAlignment="1" pivotButton="0" quotePrefix="0" xfId="0">
      <alignment horizontal="center" vertical="center"/>
    </xf>
    <xf numFmtId="49" fontId="5" fillId="6" borderId="1" applyAlignment="1" pivotButton="0" quotePrefix="0" xfId="0">
      <alignment horizontal="left" vertical="center"/>
    </xf>
    <xf numFmtId="49" fontId="3" fillId="4" borderId="1" applyAlignment="1" pivotButton="0" quotePrefix="0" xfId="0">
      <alignment horizontal="left" vertical="center"/>
    </xf>
    <xf numFmtId="49" fontId="4" fillId="5" borderId="1" applyAlignment="1" pivotButton="0" quotePrefix="0" xfId="0">
      <alignment horizontal="left" vertical="center"/>
    </xf>
    <xf numFmtId="0" fontId="2" fillId="3" borderId="0" applyAlignment="1" pivotButton="0" quotePrefix="0" xfId="0">
      <alignment vertical="center" wrapText="1"/>
    </xf>
    <xf numFmtId="1" fontId="3" fillId="4" borderId="1" applyAlignment="1" pivotButton="0" quotePrefix="0" xfId="0">
      <alignment horizontal="center" vertical="center"/>
    </xf>
    <xf numFmtId="49" fontId="3" fillId="4" borderId="1" applyAlignment="1" pivotButton="0" quotePrefix="0" xfId="0">
      <alignment horizontal="center" vertical="center" wrapText="1"/>
    </xf>
    <xf numFmtId="49" fontId="3" fillId="6" borderId="1" applyAlignment="1" pivotButton="0" quotePrefix="0" xfId="0">
      <alignment horizontal="center" vertical="center"/>
    </xf>
    <xf numFmtId="164" fontId="3" fillId="6" borderId="1" applyAlignment="1" pivotButton="0" quotePrefix="0" xfId="0">
      <alignment horizontal="center" vertical="center"/>
    </xf>
    <xf numFmtId="167" fontId="3" fillId="6" borderId="1" applyAlignment="1" pivotButton="0" quotePrefix="0" xfId="0">
      <alignment horizontal="center" vertical="center"/>
    </xf>
    <xf numFmtId="49" fontId="3" fillId="4" borderId="1" applyAlignment="1" pivotButton="0" quotePrefix="0" xfId="0">
      <alignment horizontal="center" vertical="center"/>
    </xf>
    <xf numFmtId="164" fontId="3" fillId="4" borderId="1" applyAlignment="1" pivotButton="0" quotePrefix="0" xfId="0">
      <alignment horizontal="center" vertical="center"/>
    </xf>
    <xf numFmtId="1" fontId="2" fillId="3" borderId="1" applyAlignment="1" pivotButton="0" quotePrefix="0" xfId="0">
      <alignment horizontal="center" vertical="center"/>
    </xf>
    <xf numFmtId="49" fontId="4" fillId="5" borderId="1" applyAlignment="1" pivotButton="0" quotePrefix="0" xfId="0">
      <alignment horizontal="center" vertical="center" wrapText="1"/>
    </xf>
    <xf numFmtId="1" fontId="4" fillId="5" borderId="1" applyAlignment="1" pivotButton="0" quotePrefix="0" xfId="0">
      <alignment horizontal="center" vertical="center"/>
    </xf>
    <xf numFmtId="49" fontId="5" fillId="6" borderId="1" applyAlignment="1" pivotButton="0" quotePrefix="0" xfId="0">
      <alignment horizontal="center" vertical="center"/>
    </xf>
    <xf numFmtId="164" fontId="5" fillId="6" borderId="1" applyAlignment="1" pivotButton="0" quotePrefix="0" xfId="0">
      <alignment horizontal="center" vertical="center"/>
    </xf>
    <xf numFmtId="167" fontId="5" fillId="6" borderId="1" applyAlignment="1" pivotButton="0" quotePrefix="0" xfId="0">
      <alignment horizontal="center" vertical="center"/>
    </xf>
    <xf numFmtId="49" fontId="4" fillId="5" borderId="1" applyAlignment="1" pivotButton="0" quotePrefix="0" xfId="0">
      <alignment horizontal="center" vertical="center"/>
    </xf>
    <xf numFmtId="164" fontId="4" fillId="5" borderId="1" applyAlignment="1" pivotButton="0" quotePrefix="0" xfId="0">
      <alignment horizontal="center" vertical="center"/>
    </xf>
    <xf numFmtId="0" fontId="5" fillId="6" borderId="1" applyAlignment="1" pivotButton="0" quotePrefix="0" xfId="0">
      <alignment horizontal="center" vertical="center" wrapText="1"/>
    </xf>
    <xf numFmtId="0" fontId="9" fillId="0" borderId="0" pivotButton="0" quotePrefix="0" xfId="0"/>
    <xf numFmtId="2" fontId="2" fillId="0" borderId="1" applyAlignment="1" pivotButton="0" quotePrefix="0" xfId="0">
      <alignment horizontal="center" vertical="center" wrapText="1"/>
    </xf>
    <xf numFmtId="1"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8" fontId="5" fillId="6" borderId="1" applyAlignment="1" pivotButton="0" quotePrefix="0" xfId="0">
      <alignment horizontal="center" vertical="center" wrapText="1"/>
    </xf>
    <xf numFmtId="169" fontId="5" fillId="6" borderId="1" applyAlignment="1" pivotButton="0" quotePrefix="0" xfId="0">
      <alignment horizontal="center" vertical="center" wrapText="1"/>
    </xf>
    <xf numFmtId="0" fontId="5" fillId="0" borderId="1" pivotButton="0" quotePrefix="0" xfId="0"/>
    <xf numFmtId="1" fontId="4" fillId="0" borderId="1" applyAlignment="1" pivotButton="0" quotePrefix="0" xfId="0">
      <alignment horizontal="center" vertical="center" wrapText="1"/>
    </xf>
    <xf numFmtId="1" fontId="0" fillId="6" borderId="1" applyAlignment="1" pivotButton="0" quotePrefix="0" xfId="0">
      <alignment horizontal="center" vertical="center" wrapText="1"/>
    </xf>
    <xf numFmtId="0" fontId="0" fillId="6" borderId="1" applyAlignment="1" pivotButton="0" quotePrefix="0" xfId="0">
      <alignment horizontal="center" vertical="center" wrapText="1"/>
    </xf>
    <xf numFmtId="2" fontId="4" fillId="0" borderId="1" applyAlignment="1" pivotButton="0" quotePrefix="0" xfId="0">
      <alignment horizontal="center" vertical="center" wrapText="1"/>
    </xf>
    <xf numFmtId="2" fontId="0" fillId="6" borderId="1" applyAlignment="1" pivotButton="0" quotePrefix="0" xfId="0">
      <alignment horizontal="center" vertical="center" wrapText="1"/>
    </xf>
    <xf numFmtId="168" fontId="4" fillId="0" borderId="1" applyAlignment="1" pivotButton="0" quotePrefix="0" xfId="0">
      <alignment horizontal="center" vertical="center" wrapText="1"/>
    </xf>
    <xf numFmtId="168" fontId="0" fillId="6" borderId="1" applyAlignment="1" pivotButton="0" quotePrefix="0" xfId="0">
      <alignment horizontal="center" vertical="center" wrapText="1"/>
    </xf>
    <xf numFmtId="2" fontId="5" fillId="0" borderId="1" applyAlignment="1" pivotButton="0" quotePrefix="0" xfId="0">
      <alignment horizontal="center" vertical="center" wrapText="1"/>
    </xf>
    <xf numFmtId="165" fontId="3" fillId="4" borderId="1" pivotButton="0" quotePrefix="0" xfId="0"/>
    <xf numFmtId="0" fontId="3" fillId="4" borderId="1" pivotButton="0" quotePrefix="0" xfId="0"/>
    <xf numFmtId="165" fontId="4" fillId="5" borderId="1" pivotButton="0" quotePrefix="0" xfId="0"/>
    <xf numFmtId="0" fontId="4" fillId="5" borderId="1" pivotButton="0" quotePrefix="0" xfId="0"/>
  </cellXfs>
  <cellStyles count="1">
    <cellStyle name="Normal" xfId="0" builtinId="0" hidden="0"/>
  </cellStyles>
  <dxfs count="3">
    <dxf>
      <fill>
        <patternFill patternType="solid">
          <fgColor rgb="00F8CBAD"/>
        </patternFill>
      </fill>
    </dxf>
    <dxf>
      <fill>
        <patternFill patternType="solid">
          <fgColor rgb="00C6EFCE"/>
        </patternFill>
      </fill>
    </dxf>
    <dxf>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양식</author>
  </authors>
  <commentList>
    <comment ref="A3" authorId="0" shapeId="0">
      <text>
        <t>예시 행입니다. 분석포함=0이고 자료 범위(4–33행) 밖이라 지우지 않아도 자동검산에서 빠집니다. 행을 삽입·삭제하지 말고, 탈락자도 행을 지우지 말고 분석포함=0과 사유를 적으세요.</t>
      </text>
    </comment>
  </commentList>
</comments>
</file>

<file path=xl/comments/comment2.xml><?xml version="1.0" encoding="utf-8"?>
<comments xmlns="http://schemas.openxmlformats.org/spreadsheetml/2006/main">
  <authors>
    <author>양식</author>
  </authors>
  <commentList>
    <comment ref="A1" authorId="0" shapeId="0">
      <text>
        <t>약어: DS=Deep Squat, HS=Hurdle Step, ILL=In-line Lunge, SM=Shoulder Mobility, ASLR=Active Straight Leg Raise, TSPU=Trunk Stability Push-up, RS=Rotary Stability. ID는 대상자_VO2max 시트와 같은 코드로 직접 입력합니다(행 순서가 달라도 ID로 연결).</t>
      </text>
    </comment>
    <comment ref="N2" authorId="0" shapeId="0">
      <text>
        <t>Clearing test: 1=통증 있음 → 해당 항목 0점, 0=통증 없음. 검사하지 않았거나 기록이 없으면 빈칸 (통증 없음으로 계산하고 자동검산 J에 개수 표시). SM=어깨 충돌 검사(좌·우 중 한쪽이라도 통증이면 1), TSPU=척추 신전(prone press-up), RS=척추 굴곡(posterior rocking).</t>
      </text>
    </comment>
    <comment ref="V2" authorId="0" shapeId="0">
      <text>
        <t>하위항목 원점수가 없고 총점만 있을 때, 또는 기존 SPSS 파일의 총점과 대조할 때 입력. 하위항목이 모두 있으면 하위항목 합이 우선 쓰이고, 다르면 경고가 뜹니다. 자동검산 J에 SPSS총점으로 대체된 값의 수가 표시됩니다.</t>
      </text>
    </comment>
  </commentList>
</comments>
</file>

<file path=xl/comments/comment3.xml><?xml version="1.0" encoding="utf-8"?>
<comments xmlns="http://schemas.openxmlformats.org/spreadsheetml/2006/main">
  <authors>
    <author>양식</author>
  </authors>
  <commentList>
    <comment ref="A1" authorId="0" shapeId="0">
      <text>
        <t>약어: DS=Deep Squat, HS=Hurdle Step, ILL=In-line Lunge, SM=Shoulder Mobility, ASLR=Active Straight Leg Raise, TSPU=Trunk Stability Push-up, RS=Rotary Stability. ID는 대상자_VO2max 시트와 같은 코드로 직접 입력합니다(행 순서가 달라도 ID로 연결).</t>
      </text>
    </comment>
    <comment ref="B1" authorId="0" shapeId="0">
      <text>
        <t>평가자가 2명이었고 두 사람 점수를 따로 갖고 있을 때만 입력(선택). 평가자1 점수는 FMS 시트에. 두 평가자 총점의 평균으로 다시 계산한 결과가 자동검산 B-2에 나옵니다.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42"/>
  <sheetViews>
    <sheetView zoomScale="90" workbookViewId="0">
      <selection activeCell="A1" sqref="A1"/>
    </sheetView>
  </sheetViews>
  <sheetFormatPr baseColWidth="8" defaultRowHeight="15"/>
  <cols>
    <col width="24" customWidth="1" min="1" max="1"/>
    <col width="115" customWidth="1" min="2" max="2"/>
  </cols>
  <sheetData>
    <row r="1">
      <c r="A1" s="1" t="inlineStr">
        <is>
          <t>H-IFIT 연구 원자료 입력 양식</t>
        </is>
      </c>
    </row>
    <row r="2">
      <c r="A2" s="2" t="inlineStr">
        <is>
          <t>12주 고강도 기능성 인터벌 트레이닝 × 대학 태권도 겨루기 선수 (VO2max · FMS)</t>
        </is>
      </c>
    </row>
    <row r="4">
      <c r="A4" s="3" t="inlineStr">
        <is>
          <t>목적</t>
        </is>
      </c>
    </row>
    <row r="5" ht="32" customHeight="1">
      <c r="A5" s="4" t="inlineStr"/>
      <c r="B5" s="5" t="inlineStr">
        <is>
          <t>원자료로 포스터 수치를 다시 계산하고(특히 FMS 총점 평균과 t값이 서로 맞지 않는 문제), 통제군 기술통계·자유도·효과크기·95% CI·대상자 특성을 구해 원고의 표 1·3·4와 연구방법을 완성하기 위한 양식입니다.</t>
        </is>
      </c>
    </row>
    <row r="6">
      <c r="A6" s="3" t="inlineStr">
        <is>
          <t>가장 중요한 원칙</t>
        </is>
      </c>
    </row>
    <row r="7" ht="32" customHeight="1">
      <c r="A7" s="4" t="inlineStr">
        <is>
          <t>!</t>
        </is>
      </c>
      <c r="B7" s="6" t="inlineStr">
        <is>
          <t>원 기록지·측정 출력물의 값을 그대로 입력하세요. 포스터 값과 달라도 원자료를 고치거나 대상자를 빼지 마세요. '다름'은 그대로 보고할 결과입니다. 입력 실수를 고쳤다면 '수정기록' 시트에 원래 값과 근거를 남깁니다.</t>
        </is>
      </c>
    </row>
    <row r="8">
      <c r="A8" s="3" t="inlineStr">
        <is>
          <t>작성 순서</t>
        </is>
      </c>
    </row>
    <row r="9" ht="16" customHeight="1">
      <c r="A9" s="4" t="inlineStr">
        <is>
          <t>1 연구정보</t>
        </is>
      </c>
      <c r="B9" s="5" t="inlineStr">
        <is>
          <t>배정·IRB·측정 장비·FMS 평가자 등에 답하고 근거(문서·기록 / 기억 / 모름)를 고릅니다.</t>
        </is>
      </c>
    </row>
    <row r="10" ht="16" customHeight="1">
      <c r="A10" s="4" t="inlineStr">
        <is>
          <t>2 대상자_VO2max</t>
        </is>
      </c>
      <c r="B10" s="5" t="inlineStr">
        <is>
          <t>1명당 1행(4–33행). ID·집단·분석포함·인적사항·사전/사후 체중과 VO2max.</t>
        </is>
      </c>
    </row>
    <row r="11" ht="16" customHeight="1">
      <c r="A11" s="4" t="inlineStr">
        <is>
          <t>3 FMS</t>
        </is>
      </c>
      <c r="B11" s="5" t="inlineStr">
        <is>
          <t>ID를 직접 입력하고 하위항목 원점수를 입력합니다. 집단·분석포함은 ID로 자동 연결되므로 행 순서는 달라도 됩니다.</t>
        </is>
      </c>
    </row>
    <row r="12" ht="16" customHeight="1">
      <c r="A12" s="4" t="inlineStr">
        <is>
          <t>3b FMS_평가자2</t>
        </is>
      </c>
      <c r="B12" s="5" t="inlineStr">
        <is>
          <t>(선택) 평가자가 2명이고 두 사람 점수를 따로 갖고 있으면 평가자2 점수를 입력합니다.</t>
        </is>
      </c>
    </row>
    <row r="13" ht="16" customHeight="1">
      <c r="A13" s="4" t="inlineStr">
        <is>
          <t>4 출석_훈련기록</t>
        </is>
      </c>
      <c r="B13" s="5" t="inlineStr">
        <is>
          <t>실험군 회기별 출석(1/0), 35행에는 전체 취소된 회기에만 0, 정규훈련 시간·강도(두 집단).</t>
        </is>
      </c>
    </row>
    <row r="14" ht="16" customHeight="1">
      <c r="A14" s="4" t="inlineStr">
        <is>
          <t>5 주차별_프로그램</t>
        </is>
      </c>
      <c r="B14" s="5" t="inlineStr">
        <is>
          <t>주차별 실제 운동 구성(종목·시간·세트·휴식).</t>
        </is>
      </c>
    </row>
    <row r="15" ht="16" customHeight="1">
      <c r="A15" s="4" t="inlineStr">
        <is>
          <t>6 대상자_흐름</t>
        </is>
      </c>
      <c r="B15" s="5" t="inlineStr">
        <is>
          <t>적격성 평가 → 배정 → 중단·추적 소실 → 결과별 분석 인원.</t>
        </is>
      </c>
    </row>
    <row r="16" ht="16" customHeight="1">
      <c r="A16" s="4" t="inlineStr">
        <is>
          <t>7 자동검산</t>
        </is>
      </c>
      <c r="B16" s="5" t="inlineStr">
        <is>
          <t>확인만 하면 됩니다. 결과는 기록용이며, 포스터 값과 같은지 다른지 표시됩니다.</t>
        </is>
      </c>
    </row>
    <row r="17">
      <c r="A17" s="3" t="inlineStr">
        <is>
          <t>색 구분</t>
        </is>
      </c>
    </row>
    <row r="18" ht="16" customHeight="1">
      <c r="A18" s="7" t="inlineStr">
        <is>
          <t>노란 칸 + 파란 글씨</t>
        </is>
      </c>
      <c r="B18" s="5" t="inlineStr">
        <is>
          <t>직접 입력하는 칸</t>
        </is>
      </c>
    </row>
    <row r="19" ht="16" customHeight="1">
      <c r="A19" s="8" t="inlineStr">
        <is>
          <t>회색 칸</t>
        </is>
      </c>
      <c r="B19" s="5" t="inlineStr">
        <is>
          <t>자동 계산 칸. 수정하거나 지우지 마세요.</t>
        </is>
      </c>
    </row>
    <row r="20" ht="16" customHeight="1">
      <c r="A20" s="9" t="inlineStr">
        <is>
          <t>연회색 기울임 (3행)</t>
        </is>
      </c>
      <c r="B20" s="5" t="inlineStr">
        <is>
          <t>예시 행. 자료 범위 밖이라 분석에서 빠지므로 그대로 두셔도 됩니다.</t>
        </is>
      </c>
    </row>
    <row r="21" ht="16" customHeight="1">
      <c r="A21" s="10" t="inlineStr">
        <is>
          <t>주황 칸</t>
        </is>
      </c>
      <c r="B21" s="5" t="inlineStr">
        <is>
          <t>입력 점검 경고. 원 기록을 확인해 입력 실수면 고치고(수정기록에 기재), 기록과 같으면 그대로 둡니다.</t>
        </is>
      </c>
    </row>
    <row r="22" ht="16" customHeight="1">
      <c r="A22" s="11" t="inlineStr">
        <is>
          <t>파란 칸 (자동검산 H)</t>
        </is>
      </c>
      <c r="B22" s="5" t="inlineStr">
        <is>
          <t>포스터 값과 다름. 오류 표시가 아니라 기록입니다.</t>
        </is>
      </c>
    </row>
    <row r="23">
      <c r="A23" s="3" t="inlineStr">
        <is>
          <t>코딩 규칙</t>
        </is>
      </c>
    </row>
    <row r="24" ht="16" customHeight="1">
      <c r="A24" s="4" t="inlineStr">
        <is>
          <t>집단</t>
        </is>
      </c>
      <c r="B24" s="5" t="inlineStr">
        <is>
          <t>1 = 실험군(H-IFIT), 2 = 통제군(정규훈련)</t>
        </is>
      </c>
    </row>
    <row r="25" ht="32" customHeight="1">
      <c r="A25" s="4" t="inlineStr">
        <is>
          <t>분석포함</t>
        </is>
      </c>
      <c r="B25" s="5" t="inlineStr">
        <is>
          <t>1 = 포함, 0 = 제외(제외 사유를 목록에서 고르고 상세를 적음). 빈칸은 제외로 처리되며 경고가 뜹니다. 탈락자도 행을 지우지 마세요.</t>
        </is>
      </c>
    </row>
    <row r="26" ht="32" customHeight="1">
      <c r="A26" s="4" t="inlineStr">
        <is>
          <t>결과별 포함</t>
        </is>
      </c>
      <c r="B26" s="5" t="inlineStr">
        <is>
          <t>대상자 시트의 분석포함은 VO2max에 적용되고 FMS에도 기본으로 따라갑니다. 결과마다 다르면(예: VO2max만 최대치 판정 미충족으로 제외) FMS 시트의 'FMS만 분석포함' 칸에 1/0을 따로 넣습니다.</t>
        </is>
      </c>
    </row>
    <row r="27" ht="16" customHeight="1">
      <c r="A27" s="4" t="inlineStr">
        <is>
          <t>성별</t>
        </is>
      </c>
      <c r="B27" s="5" t="inlineStr">
        <is>
          <t>1 = 남, 2 = 여</t>
        </is>
      </c>
    </row>
    <row r="28" ht="46" customHeight="1">
      <c r="A28" s="4" t="inlineStr">
        <is>
          <t>FMS 약어</t>
        </is>
      </c>
      <c r="B28" s="5" t="inlineStr">
        <is>
          <t>DS=Deep Squat, HS=Hurdle Step, ILL=In-line Lunge, SM=Shoulder Mobility, ASLR=Active Straight Leg Raise, TSPU=Trunk Stability Push-up, RS=Rotary Stability</t>
        </is>
      </c>
    </row>
    <row r="29" ht="32" customHeight="1">
      <c r="A29" s="4" t="inlineStr">
        <is>
          <t>FMS 원점수</t>
        </is>
      </c>
      <c r="B29" s="5" t="inlineStr">
        <is>
          <t>0–3. 양측 항목(HS, ILL, SM, ASLR, RS)은 좌·우를 따로 입력하면 낮은 점수가 항목 점수가 됩니다. 동작 중 통증이 있었으면 그 원점수에 0을 입력합니다. 평가자 평균 등으로 소수라면 그대로 입력하세요(경고만 뜸).</t>
        </is>
      </c>
    </row>
    <row r="30" ht="32" customHeight="1">
      <c r="A30" s="4" t="inlineStr">
        <is>
          <t>Clearing test</t>
        </is>
      </c>
      <c r="B30" s="5" t="inlineStr">
        <is>
          <t>1 = 통증 있음 → 해당 항목 0점(SM←어깨 충돌, TSPU←척추 신전, RS←척추 굴곡; SM은 좌·우 중 한쪽이라도 통증이면 1), 0 = 없음. 검사하지 않았거나 기록이 없으면 빈칸(통증 없음으로 계산하고 자동검산 J에 개수 표시).</t>
        </is>
      </c>
    </row>
    <row r="31" ht="32" customHeight="1">
      <c r="A31" s="4" t="inlineStr">
        <is>
          <t>FMS 총점만 있을 때</t>
        </is>
      </c>
      <c r="B31" s="5" t="inlineStr">
        <is>
          <t>하위항목이 없으면 '총점 기존 SPSS·포스터 값' 칸에만 넣어도 계산됩니다. 이 경우 검증이 아니라 재집계라는 점이 J에 표시됩니다.</t>
        </is>
      </c>
    </row>
    <row r="32" ht="16" customHeight="1">
      <c r="A32" s="4" t="inlineStr">
        <is>
          <t>결측값</t>
        </is>
      </c>
      <c r="B32" s="5" t="inlineStr">
        <is>
          <t>측정하지 않았거나 모르는 값은 반드시 빈칸. 0을 넣으면 실제 0으로 계산됩니다.</t>
        </is>
      </c>
    </row>
    <row r="33" ht="16" customHeight="1">
      <c r="A33" s="4" t="inlineStr">
        <is>
          <t>날짜</t>
        </is>
      </c>
      <c r="B33" s="5" t="inlineStr">
        <is>
          <t>2025-03-03처럼 하이픈으로 입력(2025.03.03은 날짜로 인식되지 않음).</t>
        </is>
      </c>
    </row>
    <row r="34" ht="16" customHeight="1">
      <c r="A34" s="4" t="inlineStr">
        <is>
          <t>ID</t>
        </is>
      </c>
      <c r="B34" s="5" t="inlineStr">
        <is>
          <t>실명 대신 코드(E01–E13, C01–C12 등). 같은 사람은 모든 시트에서 같은 ID.</t>
        </is>
      </c>
    </row>
    <row r="35" ht="32" customHeight="1">
      <c r="A35" s="4" t="inlineStr">
        <is>
          <t>행 관련</t>
        </is>
      </c>
      <c r="B35" s="5" t="inlineStr">
        <is>
          <t>자료 범위는 4–33행(30명)입니다. 행을 삽입·삭제하지 마세요. 정렬은 권하지 않습니다. 꼭 필요하면 4–33행만 선택한 뒤 [정렬] 대화상자에서 '머리글 포함'을 끄고 정렬하세요(1–3행이 섞이면 대상자가 분석에서 빠짐). FMS·출석 시트는 ID로 연결됩니다.</t>
        </is>
      </c>
    </row>
    <row r="36">
      <c r="A36" s="3" t="inlineStr">
        <is>
          <t>포스터 수치가 다르게 나올 수 있는 이유 (중립적 후보)</t>
        </is>
      </c>
    </row>
    <row r="37" ht="32" customHeight="1">
      <c r="A37" s="4" t="inlineStr"/>
      <c r="B37" s="5" t="inlineStr">
        <is>
          <t>평가자 점수의 평균 사용, 좌우 점수를 평균·합산한 다른 채점 규칙, 실제 분석 인원 차이(탈락자), 다른 버전의 자료 파일, 공변량을 넣은 분석(ANCOVA), 포스터로 옮겨 적을 때의 전사 오류. 어느 것인지는 자료와 연구정보 답으로 확인합니다.</t>
        </is>
      </c>
    </row>
    <row r="38">
      <c r="A38" s="3" t="inlineStr">
        <is>
          <t>Excel·SPSS</t>
        </is>
      </c>
    </row>
    <row r="39" ht="16" customHeight="1">
      <c r="A39" s="4" t="inlineStr">
        <is>
          <t>Excel</t>
        </is>
      </c>
      <c r="B39" s="5" t="inlineStr">
        <is>
          <t>파일을 열면 자동으로 계산됩니다. 위쪽에 '편집 사용' 버튼이 보이면 눌러야 계산 결과가 나타납니다.</t>
        </is>
      </c>
    </row>
    <row r="40" ht="46" customHeight="1">
      <c r="A40" s="4" t="inlineStr">
        <is>
          <t>SPSS</t>
        </is>
      </c>
      <c r="B40" s="5" t="inlineStr">
        <is>
          <t>1행이 SPSS 변수명입니다. 복사본에서 2·3행을 지우고, 불러올 때 범위를 마지막 대상자 행까지만 지정하세요(빈 행의 ""가 문자 변수로 읽힐 수 있음). 불러온 뒤 숫자 열이 문자형이면 ALTER TYPE d_vo2 pct_vo2 d_wt (F8.3). 처럼 바꿉니다. group_lbl, chk_vo2, chk_fms 같은 문자 열은 분석에서 빼세요.</t>
        </is>
      </c>
    </row>
    <row r="41">
      <c r="A41" s="3" t="inlineStr">
        <is>
          <t>보낼 것</t>
        </is>
      </c>
    </row>
    <row r="42" ht="32" customHeight="1">
      <c r="A42" s="4" t="inlineStr"/>
      <c r="B42" s="5" t="inlineStr">
        <is>
          <t>작성한 이 파일 + 있으면 기존 SPSS 파일(.sav)과 출력(.spv) + IRB 승인번호. 받으면 최종 분석(비모수 검정, ICC 등)과 원고 수정을 진행합니다.</t>
        </is>
      </c>
    </row>
  </sheetData>
  <mergeCells count="8">
    <mergeCell ref="A4:B4"/>
    <mergeCell ref="A38:B38"/>
    <mergeCell ref="A41:B41"/>
    <mergeCell ref="A36:B36"/>
    <mergeCell ref="A17:B17"/>
    <mergeCell ref="A23:B23"/>
    <mergeCell ref="A8:B8"/>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
  <sheetViews>
    <sheetView zoomScale="90" workbookViewId="0">
      <pane ySplit="4" topLeftCell="A5" activePane="bottomLeft" state="frozen"/>
      <selection pane="bottomLeft" activeCell="A1" sqref="A1"/>
    </sheetView>
  </sheetViews>
  <sheetFormatPr baseColWidth="8" defaultRowHeight="15"/>
  <cols>
    <col width="6" customWidth="1" min="1" max="1"/>
    <col width="56" customWidth="1" min="2" max="2"/>
    <col width="50" customWidth="1" min="3" max="3"/>
    <col width="36" customWidth="1" min="4" max="4"/>
    <col width="10" customWidth="1" min="5" max="5"/>
  </cols>
  <sheetData>
    <row r="1">
      <c r="A1" s="12" t="inlineStr">
        <is>
          <t>연구 정보 (원고 '연구방법' 작성용)</t>
        </is>
      </c>
    </row>
    <row r="2" ht="42" customHeight="1">
      <c r="A2" s="13" t="inlineStr">
        <is>
          <t>노란 칸에 답하고, E열에 근거(문서·기록 / 기억 / 모름)를 고르세요. 모르면 '모름', 하지 않았으면 '미실시'라고 적어 주세요. 사실과 다른 답보다 '모름'이 훨씬 낫습니다. '기억'으로 표시한 답은 원고에 조심스럽게 쓰거나 투고 전에 기록으로 확인합니다.</t>
        </is>
      </c>
    </row>
    <row r="4">
      <c r="A4" s="14" t="inlineStr">
        <is>
          <t>번호</t>
        </is>
      </c>
      <c r="B4" s="14" t="inlineStr">
        <is>
          <t>확인 항목</t>
        </is>
      </c>
      <c r="C4" s="14" t="inlineStr">
        <is>
          <t>입력 (답변)</t>
        </is>
      </c>
      <c r="D4" s="14" t="inlineStr">
        <is>
          <t>왜 필요한가</t>
        </is>
      </c>
      <c r="E4" s="14" t="inlineStr">
        <is>
          <t>근거</t>
        </is>
      </c>
    </row>
    <row r="5">
      <c r="A5" s="15" t="inlineStr">
        <is>
          <t>A. 설계·배정</t>
        </is>
      </c>
      <c r="B5" s="16" t="n"/>
      <c r="C5" s="16" t="n"/>
      <c r="D5" s="16" t="n"/>
      <c r="E5" s="17" t="n"/>
    </row>
    <row r="6" ht="48" customHeight="1">
      <c r="A6" s="18" t="inlineStr">
        <is>
          <t>A1</t>
        </is>
      </c>
      <c r="B6" s="19" t="inlineStr">
        <is>
          <t>무작위 배정을 했는가 (예 / 아니오)</t>
        </is>
      </c>
      <c r="C6" s="20" t="n"/>
      <c r="D6" s="21" t="inlineStr">
        <is>
          <t>예=무작위 대조시험(CONSORT), 아니오=비무작위 대조연구(TREND)</t>
        </is>
      </c>
      <c r="E6" s="22" t="n"/>
    </row>
    <row r="7" ht="48" customHeight="1">
      <c r="A7" s="18" t="inlineStr">
        <is>
          <t>A2</t>
        </is>
      </c>
      <c r="B7" s="19" t="inlineStr">
        <is>
          <t>배정 단위 (개인 / 팀·학교)</t>
        </is>
      </c>
      <c r="C7" s="20" t="n"/>
      <c r="D7" s="21" t="inlineStr">
        <is>
          <t>팀 단위면 군집 구조를 분석·기술해야 함</t>
        </is>
      </c>
      <c r="E7" s="22" t="n"/>
    </row>
    <row r="8" ht="48" customHeight="1">
      <c r="A8" s="18" t="inlineStr">
        <is>
          <t>A3</t>
        </is>
      </c>
      <c r="B8" s="19" t="inlineStr">
        <is>
          <t>무작위라면 방법 (난수표·제비뽑기·블록/층화 여부), 배정한 사람, 배정 은폐 방법</t>
        </is>
      </c>
      <c r="C8" s="20" t="n"/>
      <c r="D8" s="21" t="inlineStr">
        <is>
          <t>CONSORT 필수 항목</t>
        </is>
      </c>
      <c r="E8" s="22" t="n"/>
    </row>
    <row r="9" ht="48" customHeight="1">
      <c r="A9" s="18" t="inlineStr">
        <is>
          <t>A4</t>
        </is>
      </c>
      <c r="B9" s="19" t="inlineStr">
        <is>
          <t>무작위가 아니라면 배정 기준 (자원, 지도자 지정, 소속 팀 등)</t>
        </is>
      </c>
      <c r="C9" s="20" t="n"/>
      <c r="D9" s="21" t="inlineStr">
        <is>
          <t>선택편향 논의</t>
        </is>
      </c>
      <c r="E9" s="22" t="n"/>
    </row>
    <row r="10" ht="48" customHeight="1">
      <c r="A10" s="18" t="inlineStr">
        <is>
          <t>A5</t>
        </is>
      </c>
      <c r="B10" s="19" t="inlineStr">
        <is>
          <t>측정자 눈가림 여부 (VO2max·FMS 측정자가 집단을 알았는가)</t>
        </is>
      </c>
      <c r="C10" s="20" t="n"/>
      <c r="D10" s="21" t="inlineStr">
        <is>
          <t>측정 편향 대응</t>
        </is>
      </c>
      <c r="E10" s="22" t="n"/>
    </row>
    <row r="11" ht="48" customHeight="1">
      <c r="A11" s="18" t="inlineStr">
        <is>
          <t>A6</t>
        </is>
      </c>
      <c r="B11" s="19" t="inlineStr">
        <is>
          <t>연구계획서·분석계획 문서가 있는가, 작성 시점 (자료 수집 전/후), 일차·이차 결과변수와 가설</t>
        </is>
      </c>
      <c r="C11" s="20" t="n"/>
      <c r="D11" s="21" t="inlineStr">
        <is>
          <t>결과를 보고 가설을 세웠다는 의심 방지</t>
        </is>
      </c>
      <c r="E11" s="22" t="n"/>
    </row>
    <row r="12" ht="48" customHeight="1">
      <c r="A12" s="18" t="inlineStr">
        <is>
          <t>A7</t>
        </is>
      </c>
      <c r="B12" s="19" t="inlineStr">
        <is>
          <t>임상연구 등록 여부, 등록처 (CRIS 등), 등록번호, 등록일 (미등록이면 '미등록')</t>
        </is>
      </c>
      <c r="C12" s="20" t="n"/>
      <c r="D12" s="21" t="inlineStr">
        <is>
          <t>CONSORT·TREND 보고 항목</t>
        </is>
      </c>
      <c r="E12" s="22" t="n"/>
    </row>
    <row r="13">
      <c r="A13" s="15" t="inlineStr">
        <is>
          <t>B. 대상자</t>
        </is>
      </c>
      <c r="B13" s="16" t="n"/>
      <c r="C13" s="16" t="n"/>
      <c r="D13" s="16" t="n"/>
      <c r="E13" s="17" t="n"/>
    </row>
    <row r="14" ht="48" customHeight="1">
      <c r="A14" s="18" t="inlineStr">
        <is>
          <t>B1</t>
        </is>
      </c>
      <c r="B14" s="19" t="inlineStr">
        <is>
          <t>소속 기관·팀 (익명 가능: 예) 경기도 소재 A대학 태권도부)</t>
        </is>
      </c>
      <c r="C14" s="20" t="n"/>
      <c r="D14" s="21" t="inlineStr">
        <is>
          <t>대상 기술</t>
        </is>
      </c>
      <c r="E14" s="22" t="n"/>
    </row>
    <row r="15" ht="48" customHeight="1">
      <c r="A15" s="18" t="inlineStr">
        <is>
          <t>B2</t>
        </is>
      </c>
      <c r="B15" s="19" t="inlineStr">
        <is>
          <t>모집 기간, 중재 시작일과 종료일</t>
        </is>
      </c>
      <c r="C15" s="20" t="n"/>
      <c r="D15" s="21" t="inlineStr">
        <is>
          <t>중재 시점·시합 일정 확인</t>
        </is>
      </c>
      <c r="E15" s="22" t="n"/>
    </row>
    <row r="16" ht="48" customHeight="1">
      <c r="A16" s="18" t="inlineStr">
        <is>
          <t>B3</t>
        </is>
      </c>
      <c r="B16" s="19" t="inlineStr">
        <is>
          <t>선정 기준 (예: 경력 5년 이상, 최근 6개월 부상 없음)</t>
        </is>
      </c>
      <c r="C16" s="20" t="n"/>
      <c r="D16" s="21" t="inlineStr">
        <is>
          <t>필수</t>
        </is>
      </c>
      <c r="E16" s="22" t="n"/>
    </row>
    <row r="17" ht="48" customHeight="1">
      <c r="A17" s="18" t="inlineStr">
        <is>
          <t>B4</t>
        </is>
      </c>
      <c r="B17" s="19" t="inlineStr">
        <is>
          <t>제외 기준</t>
        </is>
      </c>
      <c r="C17" s="20" t="n"/>
      <c r="D17" s="21" t="inlineStr">
        <is>
          <t>필수</t>
        </is>
      </c>
      <c r="E17" s="22" t="n"/>
    </row>
    <row r="18" ht="48" customHeight="1">
      <c r="A18" s="18" t="inlineStr">
        <is>
          <t>B5</t>
        </is>
      </c>
      <c r="B18" s="19" t="inlineStr">
        <is>
          <t>표본수 산출 근거 (G*Power: 효과크기 f, α, 검정력, 산출 인원). 사전에 하지 않았으면 '사전 산출 없음'</t>
        </is>
      </c>
      <c r="C18" s="20" t="n"/>
      <c r="D18" s="21" t="inlineStr">
        <is>
          <t>심사 단골 지적. 사후에 맞춰 만들지 않음</t>
        </is>
      </c>
      <c r="E18" s="22" t="n"/>
    </row>
    <row r="19" ht="48" customHeight="1">
      <c r="A19" s="18" t="inlineStr">
        <is>
          <t>B6</t>
        </is>
      </c>
      <c r="B19" s="19" t="inlineStr">
        <is>
          <t>시즌 구분 (시합기 / 준비기 / 비시즌)과 중재 기간 중 출전한 대회</t>
        </is>
      </c>
      <c r="C19" s="20" t="n"/>
      <c r="D19" s="21" t="inlineStr">
        <is>
          <t>교란변수</t>
        </is>
      </c>
      <c r="E19" s="22" t="n"/>
    </row>
    <row r="20">
      <c r="A20" s="15" t="inlineStr">
        <is>
          <t>C. 연구윤리</t>
        </is>
      </c>
      <c r="B20" s="16" t="n"/>
      <c r="C20" s="16" t="n"/>
      <c r="D20" s="16" t="n"/>
      <c r="E20" s="17" t="n"/>
    </row>
    <row r="21" ht="48" customHeight="1">
      <c r="A21" s="18" t="inlineStr">
        <is>
          <t>C1</t>
        </is>
      </c>
      <c r="B21" s="19" t="inlineStr">
        <is>
          <t>IRB 심의 상태 (승인 / 면제 / 심의 받지 않음)와 심의 기관명</t>
        </is>
      </c>
      <c r="C21" s="20" t="n"/>
      <c r="D21" s="21" t="inlineStr">
        <is>
          <t>사실대로 기재. 사후 승인이면 사후 승인으로 표기</t>
        </is>
      </c>
      <c r="E21" s="22" t="n"/>
    </row>
    <row r="22" ht="48" customHeight="1">
      <c r="A22" s="18" t="inlineStr">
        <is>
          <t>C2</t>
        </is>
      </c>
      <c r="B22" s="19" t="inlineStr">
        <is>
          <t>IRB 승인번호, 승인일. 승인일이 첫 사전 측정일보다 앞서는가</t>
        </is>
      </c>
      <c r="C22" s="20" t="n"/>
      <c r="D22" s="21" t="inlineStr">
        <is>
          <t>본문 기재 사항</t>
        </is>
      </c>
      <c r="E22" s="22" t="n"/>
    </row>
    <row r="23" ht="48" customHeight="1">
      <c r="A23" s="18" t="inlineStr">
        <is>
          <t>C3</t>
        </is>
      </c>
      <c r="B23" s="19" t="inlineStr">
        <is>
          <t>서면 동의 취득 여부 (미성년자 포함 시 보호자 동의)</t>
        </is>
      </c>
      <c r="C23" s="20" t="n"/>
      <c r="D23" s="21" t="inlineStr">
        <is>
          <t>필수</t>
        </is>
      </c>
      <c r="E23" s="22" t="n"/>
    </row>
    <row r="24" ht="48" customHeight="1">
      <c r="A24" s="18" t="inlineStr">
        <is>
          <t>C4</t>
        </is>
      </c>
      <c r="B24" s="19" t="inlineStr">
        <is>
          <t>개인정보 보호 방법 (코드화, 자료 보관자·장소·기간)</t>
        </is>
      </c>
      <c r="C24" s="20" t="n"/>
      <c r="D24" s="21" t="inlineStr">
        <is>
          <t>연구윤리 기술</t>
        </is>
      </c>
      <c r="E24" s="22" t="n"/>
    </row>
    <row r="25" ht="48" customHeight="1">
      <c r="A25" s="18" t="inlineStr">
        <is>
          <t>C5</t>
        </is>
      </c>
      <c r="B25" s="19" t="inlineStr">
        <is>
          <t>중재 중 안전관리 (사전 건강 확인, 현장 인원, 운동 중단 기준)</t>
        </is>
      </c>
      <c r="C25" s="20" t="n"/>
      <c r="D25" s="21" t="inlineStr">
        <is>
          <t>고강도 중재의 안전성 기술</t>
        </is>
      </c>
      <c r="E25" s="22" t="n"/>
    </row>
    <row r="26">
      <c r="A26" s="15" t="inlineStr">
        <is>
          <t>D. 중재·비교조건</t>
        </is>
      </c>
      <c r="B26" s="16" t="n"/>
      <c r="C26" s="16" t="n"/>
      <c r="D26" s="16" t="n"/>
      <c r="E26" s="17" t="n"/>
    </row>
    <row r="27" ht="48" customHeight="1">
      <c r="A27" s="18" t="inlineStr">
        <is>
          <t>D1</t>
        </is>
      </c>
      <c r="B27" s="19" t="inlineStr">
        <is>
          <t>실험군은 정규훈련에 H-IFIT를 '추가'했는가, 정규훈련 일부를 H-IFIT로 '대체'했는가</t>
        </is>
      </c>
      <c r="C27" s="20" t="n"/>
      <c r="D27" s="21" t="inlineStr">
        <is>
          <t>핵심: 두 집단 총 운동량 차이</t>
        </is>
      </c>
      <c r="E27" s="22" t="n"/>
    </row>
    <row r="28" ht="48" customHeight="1">
      <c r="A28" s="18" t="inlineStr">
        <is>
          <t>D2</t>
        </is>
      </c>
      <c r="B28" s="19" t="inlineStr">
        <is>
          <t>통제군 정규훈련 내용 (겨루기·기술·체력 등 구성)</t>
        </is>
      </c>
      <c r="C28" s="20" t="n"/>
      <c r="D28" s="21" t="inlineStr">
        <is>
          <t>비교조건 기술</t>
        </is>
      </c>
      <c r="E28" s="22" t="n"/>
    </row>
    <row r="29" ht="48" customHeight="1">
      <c r="A29" s="18" t="inlineStr">
        <is>
          <t>D3</t>
        </is>
      </c>
      <c r="B29" s="19" t="inlineStr">
        <is>
          <t>정규훈련 주당 횟수·시간·강도(RPE 등): 두 집단 각각, 중재 기간 중</t>
        </is>
      </c>
      <c r="C29" s="20" t="n"/>
      <c r="D29" s="21" t="inlineStr">
        <is>
          <t>총 훈련량 비교</t>
        </is>
      </c>
      <c r="E29" s="22" t="n"/>
    </row>
    <row r="30" ht="48" customHeight="1">
      <c r="A30" s="18" t="inlineStr">
        <is>
          <t>D4</t>
        </is>
      </c>
      <c r="B30" s="19" t="inlineStr">
        <is>
          <t>H-IFIT 지도자 (자격·경력), 장소, 장비</t>
        </is>
      </c>
      <c r="C30" s="20" t="n"/>
      <c r="D30" s="21" t="inlineStr">
        <is>
          <t>재현성</t>
        </is>
      </c>
      <c r="E30" s="22" t="n"/>
    </row>
    <row r="31" ht="48" customHeight="1">
      <c r="A31" s="18" t="inlineStr">
        <is>
          <t>D5</t>
        </is>
      </c>
      <c r="B31" s="19" t="inlineStr">
        <is>
          <t>HRmax 산출 방법 (검사 실측 / 220−연령 / 기타), 심박 측정 장비 모델, 심박 기록 회기</t>
        </is>
      </c>
      <c r="C31" s="20" t="n"/>
      <c r="D31" s="21" t="inlineStr">
        <is>
          <t>강도 보고</t>
        </is>
      </c>
      <c r="E31" s="22" t="n"/>
    </row>
    <row r="32" ht="48" customHeight="1">
      <c r="A32" s="18" t="inlineStr">
        <is>
          <t>D6</t>
        </is>
      </c>
      <c r="B32" s="19" t="inlineStr">
        <is>
          <t>RPE 척도 (Borg 6–20 / CR-10)와 수집 시점 (회기 종료 후 몇 분)</t>
        </is>
      </c>
      <c r="C32" s="20" t="n"/>
      <c r="D32" s="21" t="inlineStr">
        <is>
          <t>강도 보고</t>
        </is>
      </c>
      <c r="E32" s="22" t="n"/>
    </row>
    <row r="33" ht="48" customHeight="1">
      <c r="A33" s="18" t="inlineStr">
        <is>
          <t>D7</t>
        </is>
      </c>
      <c r="B33" s="19" t="inlineStr">
        <is>
          <t>주차별 진행(점증) 기준 (예: 4주마다 운동:휴식 비율 변경)</t>
        </is>
      </c>
      <c r="C33" s="20" t="n"/>
      <c r="D33" s="21" t="inlineStr">
        <is>
          <t>주차별_프로그램 시트와 함께</t>
        </is>
      </c>
      <c r="E33" s="22" t="n"/>
    </row>
    <row r="34" ht="48" customHeight="1">
      <c r="A34" s="18" t="inlineStr">
        <is>
          <t>D8</t>
        </is>
      </c>
      <c r="B34" s="19" t="inlineStr">
        <is>
          <t>두 집단의 중재 기간 중 부상·이상반응 (없으면 '없음, 기록 있음' / '기록 없음' 구분)</t>
        </is>
      </c>
      <c r="C34" s="20" t="n"/>
      <c r="D34" s="21" t="inlineStr">
        <is>
          <t>위해 보고</t>
        </is>
      </c>
      <c r="E34" s="22" t="n"/>
    </row>
    <row r="35" ht="48" customHeight="1">
      <c r="A35" s="18" t="inlineStr">
        <is>
          <t>D9</t>
        </is>
      </c>
      <c r="B35" s="19" t="inlineStr">
        <is>
          <t>'본운동 40분'에 휴식·세트 간 휴식·전환 시간이 포함되는가</t>
        </is>
      </c>
      <c r="C35" s="20" t="n"/>
      <c r="D35" s="21" t="inlineStr">
        <is>
          <t>포스터 범위(6–10종목·3–4세트)와 40분의 정합성</t>
        </is>
      </c>
      <c r="E35" s="22" t="n"/>
    </row>
    <row r="36" ht="48" customHeight="1">
      <c r="A36" s="18" t="inlineStr">
        <is>
          <t>D10</t>
        </is>
      </c>
      <c r="B36" s="19" t="inlineStr">
        <is>
          <t>12개 운동 중 회기별 6–10개를 고른 기준과 실시 순서</t>
        </is>
      </c>
      <c r="C36" s="20" t="n"/>
      <c r="D36" s="21" t="inlineStr">
        <is>
          <t>재현성</t>
        </is>
      </c>
      <c r="E36" s="22" t="n"/>
    </row>
    <row r="37" ht="48" customHeight="1">
      <c r="A37" s="18" t="inlineStr">
        <is>
          <t>D11</t>
        </is>
      </c>
      <c r="B37" s="19" t="inlineStr">
        <is>
          <t>수면·영양·개인 추가훈련 통제 여부 (두 집단)</t>
        </is>
      </c>
      <c r="C37" s="20" t="n"/>
      <c r="D37" s="21" t="inlineStr">
        <is>
          <t>교란변수</t>
        </is>
      </c>
      <c r="E37" s="22" t="n"/>
    </row>
    <row r="38">
      <c r="A38" s="15" t="inlineStr">
        <is>
          <t>E. VO2max 측정</t>
        </is>
      </c>
      <c r="B38" s="16" t="n"/>
      <c r="C38" s="16" t="n"/>
      <c r="D38" s="16" t="n"/>
      <c r="E38" s="17" t="n"/>
    </row>
    <row r="39" ht="48" customHeight="1">
      <c r="A39" s="18" t="inlineStr">
        <is>
          <t>E1</t>
        </is>
      </c>
      <c r="B39" s="19" t="inlineStr">
        <is>
          <t>트레드밀 제조사·모델</t>
        </is>
      </c>
      <c r="C39" s="20" t="n"/>
      <c r="D39" s="21" t="inlineStr">
        <is>
          <t>필수</t>
        </is>
      </c>
      <c r="E39" s="22" t="n"/>
    </row>
    <row r="40" ht="48" customHeight="1">
      <c r="A40" s="18" t="inlineStr">
        <is>
          <t>E2</t>
        </is>
      </c>
      <c r="B40" s="19" t="inlineStr">
        <is>
          <t>호흡가스 분석기 제조사·모델 (직접 측정인지, 추정식인지)</t>
        </is>
      </c>
      <c r="C40" s="20" t="n"/>
      <c r="D40" s="21" t="inlineStr">
        <is>
          <t>직접 측정이 아니면 '추정 VO2max'로 표기</t>
        </is>
      </c>
      <c r="E40" s="22" t="n"/>
    </row>
    <row r="41" ht="48" customHeight="1">
      <c r="A41" s="18" t="inlineStr">
        <is>
          <t>E3</t>
        </is>
      </c>
      <c r="B41" s="19" t="inlineStr">
        <is>
          <t>가스분석기 보정 절차 (매 검사 전 가스·유량 보정 등)</t>
        </is>
      </c>
      <c r="C41" s="20" t="n"/>
      <c r="D41" s="21" t="inlineStr">
        <is>
          <t>측정 신뢰도</t>
        </is>
      </c>
      <c r="E41" s="22" t="n"/>
    </row>
    <row r="42" ht="48" customHeight="1">
      <c r="A42" s="18" t="inlineStr">
        <is>
          <t>E4</t>
        </is>
      </c>
      <c r="B42" s="19" t="inlineStr">
        <is>
          <t>부하 프로토콜 (Bruce / 수정 Bruce / 자체: 단계별 속도·경사·시간)</t>
        </is>
      </c>
      <c r="C42" s="20" t="n"/>
      <c r="D42" s="21" t="inlineStr">
        <is>
          <t>필수</t>
        </is>
      </c>
      <c r="E42" s="22" t="n"/>
    </row>
    <row r="43" ht="48" customHeight="1">
      <c r="A43" s="18" t="inlineStr">
        <is>
          <t>E5</t>
        </is>
      </c>
      <c r="B43" s="19" t="inlineStr">
        <is>
          <t>종료 기준과 최대치 판정 기준 (예: RER ≥ 1.10, 최고심박 ≥ 연령예측 95%, VO2 plateau, RPE ≥ 17 중 2개 이상)</t>
        </is>
      </c>
      <c r="C43" s="20" t="n"/>
      <c r="D43" s="21" t="inlineStr">
        <is>
          <t>VO2max / VO2peak 명칭 결정. 대상자 시트의 '충족 기준 수'는 이 예시 기준으로 계산</t>
        </is>
      </c>
      <c r="E43" s="22" t="n"/>
    </row>
    <row r="44" ht="48" customHeight="1">
      <c r="A44" s="18" t="inlineStr">
        <is>
          <t>E6</t>
        </is>
      </c>
      <c r="B44" s="19" t="inlineStr">
        <is>
          <t>VO2max 값 산출 방식 (30초 평균 최고값 / 15초 / breath-by-breath)</t>
        </is>
      </c>
      <c r="C44" s="20" t="n"/>
      <c r="D44" s="21" t="inlineStr">
        <is>
          <t>방법 기술</t>
        </is>
      </c>
      <c r="E44" s="22" t="n"/>
    </row>
    <row r="45" ht="48" customHeight="1">
      <c r="A45" s="18" t="inlineStr">
        <is>
          <t>E7</t>
        </is>
      </c>
      <c r="B45" s="19" t="inlineStr">
        <is>
          <t>VO2max·FMS 각각의 측정 시간대와 사전 금지사항 (24시간 고강도 운동·카페인 금지 등)</t>
        </is>
      </c>
      <c r="C45" s="20" t="n"/>
      <c r="D45" s="21" t="inlineStr">
        <is>
          <t>표준화</t>
        </is>
      </c>
      <c r="E45" s="22" t="n"/>
    </row>
    <row r="46" ht="48" customHeight="1">
      <c r="A46" s="18" t="inlineStr">
        <is>
          <t>E8</t>
        </is>
      </c>
      <c r="B46" s="19" t="inlineStr">
        <is>
          <t>사후 측정은 마지막 훈련 후 며칠(몇 시간) 뒤였는가 (VO2max·FMS 각각)</t>
        </is>
      </c>
      <c r="C46" s="20" t="n"/>
      <c r="D46" s="21" t="inlineStr">
        <is>
          <t>피로 영향</t>
        </is>
      </c>
      <c r="E46" s="22" t="n"/>
    </row>
    <row r="47">
      <c r="A47" s="15" t="inlineStr">
        <is>
          <t>F. FMS 측정</t>
        </is>
      </c>
      <c r="B47" s="16" t="n"/>
      <c r="C47" s="16" t="n"/>
      <c r="D47" s="16" t="n"/>
      <c r="E47" s="17" t="n"/>
    </row>
    <row r="48" ht="48" customHeight="1">
      <c r="A48" s="18" t="inlineStr">
        <is>
          <t>F1</t>
        </is>
      </c>
      <c r="B48" s="19" t="inlineStr">
        <is>
          <t>평가자 수와 FMS 자격(Level 1 등)·경력</t>
        </is>
      </c>
      <c r="C48" s="20" t="n"/>
      <c r="D48" s="21" t="inlineStr">
        <is>
          <t>필수</t>
        </is>
      </c>
      <c r="E48" s="22" t="n"/>
    </row>
    <row r="49" ht="48" customHeight="1">
      <c r="A49" s="18" t="inlineStr">
        <is>
          <t>F2</t>
        </is>
      </c>
      <c r="B49" s="19" t="inlineStr">
        <is>
          <t>사전·사후 평가자가 같은 사람인가</t>
        </is>
      </c>
      <c r="C49" s="20" t="n"/>
      <c r="D49" s="21" t="inlineStr">
        <is>
          <t>측정 일관성</t>
        </is>
      </c>
      <c r="E49" s="22" t="n"/>
    </row>
    <row r="50" ht="48" customHeight="1">
      <c r="A50" s="18" t="inlineStr">
        <is>
          <t>F3</t>
        </is>
      </c>
      <c r="B50" s="19" t="inlineStr">
        <is>
          <t>실시간 판정인가, 영상 촬영 후 판정인가 (촬영 각도)</t>
        </is>
      </c>
      <c r="C50" s="20" t="n"/>
      <c r="D50" s="21" t="inlineStr">
        <is>
          <t>신뢰도</t>
        </is>
      </c>
      <c r="E50" s="22" t="n"/>
    </row>
    <row r="51" ht="48" customHeight="1">
      <c r="A51" s="18" t="inlineStr">
        <is>
          <t>F4</t>
        </is>
      </c>
      <c r="B51" s="19" t="inlineStr">
        <is>
          <t>각 항목 시도 횟수와 채점 규칙 (3회 중 최고점 등)</t>
        </is>
      </c>
      <c r="C51" s="20" t="n"/>
      <c r="D51" s="21" t="inlineStr">
        <is>
          <t>매뉴얼 준수</t>
        </is>
      </c>
      <c r="E51" s="22" t="n"/>
    </row>
    <row r="52" ht="48" customHeight="1">
      <c r="A52" s="18" t="inlineStr">
        <is>
          <t>F5</t>
        </is>
      </c>
      <c r="B52" s="19" t="inlineStr">
        <is>
          <t>평가자가 2명 이상이면 최종 점수 결정 방식 (합의 / 평균 / 1명 점수 사용)</t>
        </is>
      </c>
      <c r="C52" s="20" t="n"/>
      <c r="D52" s="21" t="inlineStr">
        <is>
          <t>총점이 소수가 되는 원인 확인</t>
        </is>
      </c>
      <c r="E52" s="22" t="n"/>
    </row>
    <row r="53" ht="48" customHeight="1">
      <c r="A53" s="18" t="inlineStr">
        <is>
          <t>F6</t>
        </is>
      </c>
      <c r="B53" s="19" t="inlineStr">
        <is>
          <t>평가자 간·평가자 내 신뢰도 산출 여부와 값 (ICC, kappa)</t>
        </is>
      </c>
      <c r="C53" s="20" t="n"/>
      <c r="D53" s="21" t="inlineStr">
        <is>
          <t>심사 단골 지적. 두 평가자 점수가 있으면 FMS_평가자2 시트로 계산 가능</t>
        </is>
      </c>
      <c r="E53" s="22" t="n"/>
    </row>
    <row r="54" ht="48" customHeight="1">
      <c r="A54" s="18" t="inlineStr">
        <is>
          <t>F7</t>
        </is>
      </c>
      <c r="B54" s="19" t="inlineStr">
        <is>
          <t>Clearing test(어깨·척추 신전·척추 굴곡) 실시 여부</t>
        </is>
      </c>
      <c r="C54" s="20" t="n"/>
      <c r="D54" s="21" t="inlineStr">
        <is>
          <t>통증이면 해당 항목 0점</t>
        </is>
      </c>
      <c r="E54" s="22" t="n"/>
    </row>
    <row r="55" ht="48" customHeight="1">
      <c r="A55" s="18" t="inlineStr">
        <is>
          <t>F8</t>
        </is>
      </c>
      <c r="B55" s="19" t="inlineStr">
        <is>
          <t>FMS 측정 순서 (VO2max 검사 전/후, 같은 날/다른 날)</t>
        </is>
      </c>
      <c r="C55" s="20" t="n"/>
      <c r="D55" s="21" t="inlineStr">
        <is>
          <t>피로 영향</t>
        </is>
      </c>
      <c r="E55" s="22" t="n"/>
    </row>
    <row r="56" ht="48" customHeight="1">
      <c r="A56" s="18" t="inlineStr">
        <is>
          <t>F9</t>
        </is>
      </c>
      <c r="B56" s="19" t="inlineStr">
        <is>
          <t>좌우 점수 처리 방식 (낮은 쪽 점수 / 좌우 평균 / 좌우 합산 / 기타)과 총점 만점 (21점 / 기타)</t>
        </is>
      </c>
      <c r="C56" s="20" t="n"/>
      <c r="D56" s="21" t="inlineStr">
        <is>
          <t>이 양식은 '낮은 쪽, 21점 만점'(Cook 2014)으로 계산. 다르면 포스터와 같은 기준이 아님</t>
        </is>
      </c>
      <c r="E56" s="22" t="n"/>
    </row>
    <row r="57" ht="48" customHeight="1">
      <c r="A57" s="18" t="inlineStr">
        <is>
          <t>F10</t>
        </is>
      </c>
      <c r="B57" s="19" t="inlineStr">
        <is>
          <t>적용한 FMS 매뉴얼·판본 (Cook 2014 / FMS Level 1 교재 등)</t>
        </is>
      </c>
      <c r="C57" s="20" t="n"/>
      <c r="D57" s="21" t="inlineStr">
        <is>
          <t>방법 기술</t>
        </is>
      </c>
      <c r="E57" s="22" t="n"/>
    </row>
    <row r="58" ht="48" customHeight="1">
      <c r="A58" s="18" t="inlineStr">
        <is>
          <t>F11</t>
        </is>
      </c>
      <c r="B58" s="19" t="inlineStr">
        <is>
          <t>선수들이 연구 전에 FMS를 받아 보거나 연습한 적이 있는가</t>
        </is>
      </c>
      <c r="C58" s="20" t="n"/>
      <c r="D58" s="21" t="inlineStr">
        <is>
          <t>학습효과 교란</t>
        </is>
      </c>
      <c r="E58" s="22" t="n"/>
    </row>
    <row r="59">
      <c r="A59" s="15" t="inlineStr">
        <is>
          <t>G. 분석</t>
        </is>
      </c>
      <c r="B59" s="16" t="n"/>
      <c r="C59" s="16" t="n"/>
      <c r="D59" s="16" t="n"/>
      <c r="E59" s="17" t="n"/>
    </row>
    <row r="60" ht="48" customHeight="1">
      <c r="A60" s="18" t="inlineStr">
        <is>
          <t>G1</t>
        </is>
      </c>
      <c r="B60" s="19" t="inlineStr">
        <is>
          <t>포스터 수치를 낸 SPSS 파일(.sav)과 출력(.spv)이 있는가</t>
        </is>
      </c>
      <c r="C60" s="20" t="n"/>
      <c r="D60" s="21" t="inlineStr">
        <is>
          <t>수치 재현</t>
        </is>
      </c>
      <c r="E60" s="22" t="n"/>
    </row>
    <row r="61" ht="48" customHeight="1">
      <c r="A61" s="18" t="inlineStr">
        <is>
          <t>G2</t>
        </is>
      </c>
      <c r="B61" s="19" t="inlineStr">
        <is>
          <t>포스터 분석에 실제 쓰인 인원: VO2max (실험 n, 통제 n), FMS (실험 n, 통제 n)</t>
        </is>
      </c>
      <c r="C61" s="20" t="n"/>
      <c r="D61" s="21" t="inlineStr">
        <is>
          <t>결과별 분석 인원</t>
        </is>
      </c>
      <c r="E61" s="22" t="n"/>
    </row>
    <row r="62" ht="48" customHeight="1">
      <c r="A62" s="18" t="inlineStr">
        <is>
          <t>G3</t>
        </is>
      </c>
      <c r="B62" s="19" t="inlineStr">
        <is>
          <t>포스터 F값을 낸 분석 (SPSS 메뉴: 일반선형모형-반복측정 / 공분산분석 등)과 공변량</t>
        </is>
      </c>
      <c r="C62" s="20" t="n"/>
      <c r="D62" s="21" t="inlineStr">
        <is>
          <t>자동검산의 F와 다를 때 원인 확인</t>
        </is>
      </c>
      <c r="E62" s="22" t="n"/>
    </row>
    <row r="63" ht="48" customHeight="1">
      <c r="A63" s="18" t="inlineStr">
        <is>
          <t>G4</t>
        </is>
      </c>
      <c r="B63" s="19" t="inlineStr">
        <is>
          <t>분석 단위 (개인 / 팀)와 같은 팀 선수 포함 여부</t>
        </is>
      </c>
      <c r="C63" s="20" t="n"/>
      <c r="D63" s="21" t="inlineStr">
        <is>
          <t>관측 독립성</t>
        </is>
      </c>
      <c r="E63" s="22" t="n"/>
    </row>
    <row r="64" ht="48" customHeight="1">
      <c r="A64" s="18" t="inlineStr">
        <is>
          <t>G5</t>
        </is>
      </c>
      <c r="B64" s="19" t="inlineStr">
        <is>
          <t>.spv가 없으면 출력에 적힌 자유도·F·t·p 값을 그대로 옮겨 적기</t>
        </is>
      </c>
      <c r="C64" s="20" t="n"/>
      <c r="D64" s="21" t="inlineStr">
        <is>
          <t>자유도 보고</t>
        </is>
      </c>
      <c r="E64" s="22" t="n"/>
    </row>
    <row r="65" ht="48" customHeight="1">
      <c r="A65" s="18" t="inlineStr">
        <is>
          <t>G6</t>
        </is>
      </c>
      <c r="B65" s="19" t="inlineStr">
        <is>
          <t>결측치 처리 방법 (완전사례 분석 / 기타)</t>
        </is>
      </c>
      <c r="C65" s="20" t="n"/>
      <c r="D65" s="21" t="inlineStr">
        <is>
          <t>방법 기술</t>
        </is>
      </c>
      <c r="E65" s="22" t="n"/>
    </row>
    <row r="66" ht="48" customHeight="1">
      <c r="A66" s="18" t="inlineStr">
        <is>
          <t>G7</t>
        </is>
      </c>
      <c r="B66" s="19" t="inlineStr">
        <is>
          <t>정규성 검정 실시 여부와 결과 (Shapiro-Wilk 등)</t>
        </is>
      </c>
      <c r="C66" s="20" t="n"/>
      <c r="D66" s="21" t="inlineStr">
        <is>
          <t>모수/비모수 선택 근거</t>
        </is>
      </c>
      <c r="E66" s="22" t="n"/>
    </row>
    <row r="67" ht="48" customHeight="1">
      <c r="A67" s="18" t="inlineStr">
        <is>
          <t>G8</t>
        </is>
      </c>
      <c r="B67" s="19" t="inlineStr">
        <is>
          <t>FMS 하위항목 검정: 방법 (대응 t / Wilcoxon / 기타), 집단 내 전후 비교인가 집단×시기인가, 다중비교 보정, 항목별 검정값·p (집단별)</t>
        </is>
      </c>
      <c r="C67" s="20" t="n"/>
      <c r="D67" s="21" t="inlineStr">
        <is>
          <t>원고 표 5 해석</t>
        </is>
      </c>
      <c r="E67" s="22" t="n"/>
    </row>
    <row r="68" ht="48" customHeight="1">
      <c r="A68" s="18" t="inlineStr">
        <is>
          <t>G9</t>
        </is>
      </c>
      <c r="B68" s="19" t="inlineStr">
        <is>
          <t>사후검정 실시 여부</t>
        </is>
      </c>
      <c r="C68" s="20" t="n"/>
      <c r="D68" s="21" t="inlineStr">
        <is>
          <t>방법 기술</t>
        </is>
      </c>
      <c r="E68" s="22" t="n"/>
    </row>
    <row r="69" ht="48" customHeight="1">
      <c r="A69" s="18" t="inlineStr">
        <is>
          <t>G10</t>
        </is>
      </c>
      <c r="B69" s="19" t="inlineStr">
        <is>
          <t>포스터 분석을 수행한 사람</t>
        </is>
      </c>
      <c r="C69" s="20" t="n"/>
      <c r="D69" s="21" t="inlineStr">
        <is>
          <t>자료 추적</t>
        </is>
      </c>
      <c r="E69" s="22" t="n"/>
    </row>
    <row r="70" ht="48" customHeight="1">
      <c r="A70" s="18" t="inlineStr">
        <is>
          <t>G11</t>
        </is>
      </c>
      <c r="B70" s="19" t="inlineStr">
        <is>
          <t>이 양식에 입력한 값의 출처: VO2max (가스분석기 출력물 / 기록지 / 기존 SPSS), FMS (채점지 / 영상 / 기존 SPSS)</t>
        </is>
      </c>
      <c r="C70" s="20" t="n"/>
      <c r="D70" s="21" t="inlineStr">
        <is>
          <t>원자료 검증인지 SPSS 재집계인지 구분</t>
        </is>
      </c>
      <c r="E70" s="22" t="n"/>
    </row>
    <row r="71">
      <c r="A71" s="15" t="inlineStr">
        <is>
          <t>H. 투고 정보</t>
        </is>
      </c>
      <c r="B71" s="16" t="n"/>
      <c r="C71" s="16" t="n"/>
      <c r="D71" s="16" t="n"/>
      <c r="E71" s="17" t="n"/>
    </row>
    <row r="72" ht="48" customHeight="1">
      <c r="A72" s="18" t="inlineStr">
        <is>
          <t>H1</t>
        </is>
      </c>
      <c r="B72" s="19" t="inlineStr">
        <is>
          <t>포스터 발표: 공식 행사명, 발표일, 장소, 초록집 수록 여부·쪽수</t>
        </is>
      </c>
      <c r="C72" s="20" t="n"/>
      <c r="D72" s="21" t="inlineStr">
        <is>
          <t>선행 발표 고지</t>
        </is>
      </c>
      <c r="E72" s="22" t="n"/>
    </row>
    <row r="73" ht="48" customHeight="1">
      <c r="A73" s="18" t="inlineStr">
        <is>
          <t>H2</t>
        </is>
      </c>
      <c r="B73" s="19" t="inlineStr">
        <is>
          <t>포스터 'Research Background'의 'H-IFIT가 Deep Squat를 유의하게 개선' 문장 출처 (본 연구 결과 / 선행연구)</t>
        </is>
      </c>
      <c r="C73" s="20" t="n"/>
      <c r="D73" s="21" t="inlineStr">
        <is>
          <t>원고에서 출처 불명으로 지적됨</t>
        </is>
      </c>
      <c r="E73" s="22" t="n"/>
    </row>
    <row r="74" ht="48" customHeight="1">
      <c r="A74" s="18" t="inlineStr">
        <is>
          <t>H3</t>
        </is>
      </c>
      <c r="B74" s="19" t="inlineStr">
        <is>
          <t>저자 전원의 국문·영문 성명, 국문·영문 소속, 직위, 이메일, 최종 저자 순서</t>
        </is>
      </c>
      <c r="C74" s="20" t="n"/>
      <c r="D74" s="21" t="inlineStr">
        <is>
          <t>원고에 '확인 필요'로 남아 있음</t>
        </is>
      </c>
      <c r="E74" s="22" t="n"/>
    </row>
    <row r="75" ht="48" customHeight="1">
      <c r="A75" s="18" t="inlineStr">
        <is>
          <t>H4</t>
        </is>
      </c>
      <c r="B75" s="19" t="inlineStr">
        <is>
          <t>교신저자 (Ki-Seung Ham)의 국문 성명, 소속, 직위, 이메일</t>
        </is>
      </c>
      <c r="C75" s="20" t="n"/>
      <c r="D75" s="21" t="inlineStr">
        <is>
          <t>영문 표기에서 국문 이름을 추정하지 않음</t>
        </is>
      </c>
      <c r="E75" s="22" t="n"/>
    </row>
    <row r="76" ht="48" customHeight="1">
      <c r="A76" s="18" t="inlineStr">
        <is>
          <t>H5</t>
        </is>
      </c>
      <c r="B76" s="19" t="inlineStr">
        <is>
          <t>연구비 지원 여부, 이해상충</t>
        </is>
      </c>
      <c r="C76" s="20" t="n"/>
      <c r="D76" s="21" t="inlineStr">
        <is>
          <t>필수</t>
        </is>
      </c>
      <c r="E76" s="22" t="n"/>
    </row>
    <row r="77" ht="48" customHeight="1">
      <c r="A77" s="18" t="inlineStr">
        <is>
          <t>H6</t>
        </is>
      </c>
      <c r="B77" s="19" t="inlineStr">
        <is>
          <t>저자별 기여 (연구설계, 자료수집, 분석, 집필)</t>
        </is>
      </c>
      <c r="C77" s="20" t="n"/>
      <c r="D77" s="21" t="inlineStr">
        <is>
          <t>학술지 요구 시</t>
        </is>
      </c>
      <c r="E77" s="22" t="n"/>
    </row>
    <row r="78" ht="48" customHeight="1">
      <c r="A78" s="18" t="inlineStr">
        <is>
          <t>H7</t>
        </is>
      </c>
      <c r="B78" s="19" t="inlineStr">
        <is>
          <t>연구 전 과정에서 쓴 AI 도구명·버전과 사용 단계 (문헌 검색, 원고 작성·번역, 통계 검산, 자료 입력 양식 작성 등), 저자 검증 여부</t>
        </is>
      </c>
      <c r="C78" s="20" t="n"/>
      <c r="D78" s="21" t="inlineStr">
        <is>
          <t>국기원 연구윤리지침상 공개</t>
        </is>
      </c>
      <c r="E78" s="22" t="n"/>
    </row>
    <row r="79" ht="48" customHeight="1">
      <c r="A79" s="18" t="inlineStr">
        <is>
          <t>H8</t>
        </is>
      </c>
      <c r="B79" s="19" t="inlineStr">
        <is>
          <t>자료 이용 가능성 (요청 시 제공 / 비공개와 사유)</t>
        </is>
      </c>
      <c r="C79" s="20" t="n"/>
      <c r="D79" s="21" t="inlineStr">
        <is>
          <t>원고 기재 사항</t>
        </is>
      </c>
      <c r="E79" s="22" t="n"/>
    </row>
    <row r="80" ht="48" customHeight="1">
      <c r="A80" s="18" t="inlineStr">
        <is>
          <t>H9</t>
        </is>
      </c>
      <c r="B80" s="19" t="inlineStr">
        <is>
          <t>학위논문의 일부인가, 포스터 외 다른 학술지·학술대회에 발표·게재했는가</t>
        </is>
      </c>
      <c r="C80" s="20" t="n"/>
      <c r="D80" s="21" t="inlineStr">
        <is>
          <t>중복게재 고지</t>
        </is>
      </c>
      <c r="E80" s="22" t="n"/>
    </row>
  </sheetData>
  <mergeCells count="9">
    <mergeCell ref="A59:E59"/>
    <mergeCell ref="A26:E26"/>
    <mergeCell ref="A20:E20"/>
    <mergeCell ref="A2:E2"/>
    <mergeCell ref="A38:E38"/>
    <mergeCell ref="A71:E71"/>
    <mergeCell ref="A47:E47"/>
    <mergeCell ref="A5:E5"/>
    <mergeCell ref="A13:E13"/>
  </mergeCells>
  <dataValidations count="1">
    <dataValidation sqref="E5:E80" showDropDown="0" showInputMessage="0" showErrorMessage="1" allowBlank="1" errorTitle="근거" error="문서·기록 / 기억 / 모름 중 선택" type="list" errorStyle="information">
      <formula1>"문서·기록,기억,모름"</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3"/>
  <sheetViews>
    <sheetView zoomScale="90" workbookViewId="0">
      <pane xSplit="1" ySplit="3" topLeftCell="B4"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8" customWidth="1" min="3" max="3"/>
    <col width="9" customWidth="1" min="4" max="4"/>
    <col width="14" customWidth="1" min="5" max="5"/>
    <col width="16" customWidth="1" min="6" max="6"/>
    <col width="9" customWidth="1" min="7" max="7"/>
    <col width="6" customWidth="1" min="8" max="8"/>
    <col width="7" customWidth="1" min="9" max="9"/>
    <col width="7" customWidth="1" min="10" max="10"/>
    <col width="9" customWidth="1" min="11" max="11"/>
    <col width="7" customWidth="1" min="12" max="12"/>
    <col width="13" customWidth="1" min="13" max="13"/>
    <col width="8" customWidth="1" min="14" max="14"/>
    <col width="10" customWidth="1" min="15" max="15"/>
    <col width="9" customWidth="1" min="16" max="16"/>
    <col width="8" customWidth="1" min="17" max="17"/>
    <col width="8" customWidth="1" min="18" max="18"/>
    <col width="8" customWidth="1" min="19" max="19"/>
    <col width="9" customWidth="1" min="20" max="20"/>
    <col width="9" customWidth="1" min="21" max="21"/>
    <col width="11" customWidth="1" min="22" max="22"/>
    <col width="8" customWidth="1" min="23" max="23"/>
    <col width="10" customWidth="1" min="24" max="24"/>
    <col width="9" customWidth="1" min="25" max="25"/>
    <col width="8" customWidth="1" min="26" max="26"/>
    <col width="8" customWidth="1" min="27" max="27"/>
    <col width="8" customWidth="1" min="28" max="28"/>
    <col width="9" customWidth="1" min="29" max="29"/>
    <col width="9" customWidth="1" min="30" max="30"/>
    <col width="11" customWidth="1" min="31" max="31"/>
    <col width="9" customWidth="1" min="32" max="32"/>
    <col width="8" customWidth="1" min="33" max="33"/>
    <col width="8" customWidth="1" min="34" max="34"/>
    <col width="8" customWidth="1" min="35" max="35"/>
    <col width="8" customWidth="1" min="36" max="36"/>
    <col width="60" customWidth="1" min="37" max="37"/>
  </cols>
  <sheetData>
    <row r="1" ht="16" customHeight="1">
      <c r="A1" s="23" t="inlineStr">
        <is>
          <t>ID</t>
        </is>
      </c>
      <c r="B1" s="23" t="inlineStr">
        <is>
          <t>group</t>
        </is>
      </c>
      <c r="C1" s="23" t="inlineStr">
        <is>
          <t>group_lbl</t>
        </is>
      </c>
      <c r="D1" s="23" t="inlineStr">
        <is>
          <t>include</t>
        </is>
      </c>
      <c r="E1" s="23" t="inlineStr">
        <is>
          <t>excl_reason</t>
        </is>
      </c>
      <c r="F1" s="23" t="inlineStr">
        <is>
          <t>excl_detail</t>
        </is>
      </c>
      <c r="G1" s="23" t="inlineStr">
        <is>
          <t>team</t>
        </is>
      </c>
      <c r="H1" s="23" t="inlineStr">
        <is>
          <t>sex</t>
        </is>
      </c>
      <c r="I1" s="23" t="inlineStr">
        <is>
          <t>age</t>
        </is>
      </c>
      <c r="J1" s="23" t="inlineStr">
        <is>
          <t>height</t>
        </is>
      </c>
      <c r="K1" s="23" t="inlineStr">
        <is>
          <t>wclass</t>
        </is>
      </c>
      <c r="L1" s="23" t="inlineStr">
        <is>
          <t>career</t>
        </is>
      </c>
      <c r="M1" s="23" t="inlineStr">
        <is>
          <t>level</t>
        </is>
      </c>
      <c r="N1" s="23" t="inlineStr">
        <is>
          <t>wt_pre</t>
        </is>
      </c>
      <c r="O1" s="23" t="inlineStr">
        <is>
          <t>vo2_pre</t>
        </is>
      </c>
      <c r="P1" s="23" t="inlineStr">
        <is>
          <t>vo2abs_pre</t>
        </is>
      </c>
      <c r="Q1" s="23" t="inlineStr">
        <is>
          <t>hrmax_pre</t>
        </is>
      </c>
      <c r="R1" s="23" t="inlineStr">
        <is>
          <t>rer_pre</t>
        </is>
      </c>
      <c r="S1" s="23" t="inlineStr">
        <is>
          <t>rpe_pre</t>
        </is>
      </c>
      <c r="T1" s="23" t="inlineStr">
        <is>
          <t>plateau_pre</t>
        </is>
      </c>
      <c r="U1" s="23" t="inlineStr">
        <is>
          <t>crit_pre</t>
        </is>
      </c>
      <c r="V1" s="23" t="inlineStr">
        <is>
          <t>date_pre</t>
        </is>
      </c>
      <c r="W1" s="23" t="inlineStr">
        <is>
          <t>wt_post</t>
        </is>
      </c>
      <c r="X1" s="23" t="inlineStr">
        <is>
          <t>vo2_post</t>
        </is>
      </c>
      <c r="Y1" s="23" t="inlineStr">
        <is>
          <t>vo2abs_post</t>
        </is>
      </c>
      <c r="Z1" s="23" t="inlineStr">
        <is>
          <t>hrmax_post</t>
        </is>
      </c>
      <c r="AA1" s="23" t="inlineStr">
        <is>
          <t>rer_post</t>
        </is>
      </c>
      <c r="AB1" s="23" t="inlineStr">
        <is>
          <t>rpe_post</t>
        </is>
      </c>
      <c r="AC1" s="23" t="inlineStr">
        <is>
          <t>plateau_post</t>
        </is>
      </c>
      <c r="AD1" s="23" t="inlineStr">
        <is>
          <t>crit_post</t>
        </is>
      </c>
      <c r="AE1" s="23" t="inlineStr">
        <is>
          <t>date_post</t>
        </is>
      </c>
      <c r="AF1" s="23" t="inlineStr">
        <is>
          <t>d_vo2</t>
        </is>
      </c>
      <c r="AG1" s="23" t="inlineStr">
        <is>
          <t>pct_vo2</t>
        </is>
      </c>
      <c r="AH1" s="23" t="inlineStr">
        <is>
          <t>d_wt</t>
        </is>
      </c>
      <c r="AI1" s="23" t="inlineStr">
        <is>
          <t>critn_pre</t>
        </is>
      </c>
      <c r="AJ1" s="23" t="inlineStr">
        <is>
          <t>critn_post</t>
        </is>
      </c>
      <c r="AK1" s="23" t="inlineStr">
        <is>
          <t>chk_vo2</t>
        </is>
      </c>
    </row>
    <row r="2" ht="58" customHeight="1">
      <c r="A2" s="24" t="inlineStr">
        <is>
          <t>대상자 ID
(예: E01, C01)</t>
        </is>
      </c>
      <c r="B2" s="24" t="inlineStr">
        <is>
          <t>집단
1=실험
2=통제</t>
        </is>
      </c>
      <c r="C2" s="25" t="inlineStr">
        <is>
          <t>집단명
(자동)</t>
        </is>
      </c>
      <c r="D2" s="24" t="inlineStr">
        <is>
          <t>분석 포함
1=포함 0=제외
(FMS는
기본값)</t>
        </is>
      </c>
      <c r="E2" s="24" t="inlineStr">
        <is>
          <t>제외 사유
(목록 선택)</t>
        </is>
      </c>
      <c r="F2" s="24" t="inlineStr">
        <is>
          <t>제외 사유
상세</t>
        </is>
      </c>
      <c r="G2" s="24" t="inlineStr">
        <is>
          <t>소속 팀·
대학 코드</t>
        </is>
      </c>
      <c r="H2" s="24" t="inlineStr">
        <is>
          <t>성별
1=남
2=여</t>
        </is>
      </c>
      <c r="I2" s="24" t="inlineStr">
        <is>
          <t>연령
(만, 세)</t>
        </is>
      </c>
      <c r="J2" s="24" t="inlineStr">
        <is>
          <t>신장
(cm)</t>
        </is>
      </c>
      <c r="K2" s="24" t="inlineStr">
        <is>
          <t>체급
(예: -68kg)</t>
        </is>
      </c>
      <c r="L2" s="24" t="inlineStr">
        <is>
          <t>선수 경력
(년)</t>
        </is>
      </c>
      <c r="M2" s="24" t="inlineStr">
        <is>
          <t>등록 수준·단·
주요 입상</t>
        </is>
      </c>
      <c r="N2" s="26" t="inlineStr">
        <is>
          <t>사전 체중
(kg)</t>
        </is>
      </c>
      <c r="O2" s="26" t="inlineStr">
        <is>
          <t>사전 VO2max
(mL/kg/min)</t>
        </is>
      </c>
      <c r="P2" s="26" t="inlineStr">
        <is>
          <t>사전 VO2max
절대값
(mL/min)</t>
        </is>
      </c>
      <c r="Q2" s="26" t="inlineStr">
        <is>
          <t>사전 검사
최고심박
(bpm)</t>
        </is>
      </c>
      <c r="R2" s="26" t="inlineStr">
        <is>
          <t>사전 검사
최고 RER</t>
        </is>
      </c>
      <c r="S2" s="26" t="inlineStr">
        <is>
          <t>사전 검사
종료 RPE
(6–20)</t>
        </is>
      </c>
      <c r="T2" s="26" t="inlineStr">
        <is>
          <t>사전 VO2
plateau
1=예 0=아니오</t>
        </is>
      </c>
      <c r="U2" s="26" t="inlineStr">
        <is>
          <t>사전 최대치
판정 충족
1=예 0=아니오</t>
        </is>
      </c>
      <c r="V2" s="26" t="inlineStr">
        <is>
          <t>사전 VO2max
검사일
(YYYY-MM-DD)</t>
        </is>
      </c>
      <c r="W2" s="27" t="inlineStr">
        <is>
          <t>사후 체중
(kg)</t>
        </is>
      </c>
      <c r="X2" s="27" t="inlineStr">
        <is>
          <t>사후 VO2max
(mL/kg/min)</t>
        </is>
      </c>
      <c r="Y2" s="27" t="inlineStr">
        <is>
          <t>사후 VO2max
절대값
(mL/min)</t>
        </is>
      </c>
      <c r="Z2" s="27" t="inlineStr">
        <is>
          <t>사후 검사
최고심박
(bpm)</t>
        </is>
      </c>
      <c r="AA2" s="27" t="inlineStr">
        <is>
          <t>사후 검사
최고 RER</t>
        </is>
      </c>
      <c r="AB2" s="27" t="inlineStr">
        <is>
          <t>사후 검사
종료 RPE
(6–20)</t>
        </is>
      </c>
      <c r="AC2" s="27" t="inlineStr">
        <is>
          <t>사후 VO2
plateau
1=예 0=아니오</t>
        </is>
      </c>
      <c r="AD2" s="27" t="inlineStr">
        <is>
          <t>사후 최대치
판정 충족
1=예 0=아니오</t>
        </is>
      </c>
      <c r="AE2" s="27" t="inlineStr">
        <is>
          <t>사후 VO2max
검사일
(YYYY-MM-DD)</t>
        </is>
      </c>
      <c r="AF2" s="25" t="inlineStr">
        <is>
          <t>VO2max 변화
사후−사전
(자동)</t>
        </is>
      </c>
      <c r="AG2" s="25" t="inlineStr">
        <is>
          <t>VO2max
변화율
(자동)</t>
        </is>
      </c>
      <c r="AH2" s="25" t="inlineStr">
        <is>
          <t>체중 변화
(kg, 자동)</t>
        </is>
      </c>
      <c r="AI2" s="25" t="inlineStr">
        <is>
          <t>사전 충족
기준 수
(0–4, 자동)</t>
        </is>
      </c>
      <c r="AJ2" s="25" t="inlineStr">
        <is>
          <t>사후 충족
기준 수
(0–4, 자동)</t>
        </is>
      </c>
      <c r="AK2" s="25" t="inlineStr">
        <is>
          <t>자동 점검 (경고가 있으면 주황색)</t>
        </is>
      </c>
    </row>
    <row r="3">
      <c r="A3" s="28" t="inlineStr">
        <is>
          <t>예시</t>
        </is>
      </c>
      <c r="B3" s="29" t="n">
        <v>1</v>
      </c>
      <c r="C3" s="30">
        <f>IF(B3="","",IF(B3=1,"실험군",IF(B3=2,"통제군","코드오류")))</f>
        <v/>
      </c>
      <c r="D3" s="29" t="n">
        <v>0</v>
      </c>
      <c r="E3" s="31" t="inlineStr">
        <is>
          <t>기타</t>
        </is>
      </c>
      <c r="F3" s="31" t="inlineStr">
        <is>
          <t>예시 행(분석 제외)</t>
        </is>
      </c>
      <c r="G3" s="28" t="inlineStr">
        <is>
          <t>A대</t>
        </is>
      </c>
      <c r="H3" s="29" t="n">
        <v>1</v>
      </c>
      <c r="I3" s="29" t="n">
        <v>20</v>
      </c>
      <c r="J3" s="32" t="n">
        <v>176.4</v>
      </c>
      <c r="K3" s="28" t="inlineStr">
        <is>
          <t>-68kg</t>
        </is>
      </c>
      <c r="L3" s="32" t="n">
        <v>8.5</v>
      </c>
      <c r="M3" s="31" t="inlineStr">
        <is>
          <t>대학부 등록, 3단</t>
        </is>
      </c>
      <c r="N3" s="32" t="n">
        <v>68.2</v>
      </c>
      <c r="O3" s="33" t="n">
        <v>48.3</v>
      </c>
      <c r="P3" s="29" t="n">
        <v>3294</v>
      </c>
      <c r="Q3" s="29" t="n">
        <v>196</v>
      </c>
      <c r="R3" s="33" t="n">
        <v>1.15</v>
      </c>
      <c r="S3" s="29" t="n">
        <v>19</v>
      </c>
      <c r="T3" s="29" t="n">
        <v>1</v>
      </c>
      <c r="U3" s="29" t="n">
        <v>1</v>
      </c>
      <c r="V3" s="34" t="n">
        <v>45719</v>
      </c>
      <c r="W3" s="32" t="n">
        <v>67.5</v>
      </c>
      <c r="X3" s="33" t="n">
        <v>52.4</v>
      </c>
      <c r="Y3" s="29" t="n">
        <v>3537</v>
      </c>
      <c r="Z3" s="29" t="n">
        <v>195</v>
      </c>
      <c r="AA3" s="33" t="n">
        <v>1.13</v>
      </c>
      <c r="AB3" s="29" t="n">
        <v>19</v>
      </c>
      <c r="AC3" s="29" t="n">
        <v>0</v>
      </c>
      <c r="AD3" s="29" t="n">
        <v>1</v>
      </c>
      <c r="AE3" s="34" t="n">
        <v>45807</v>
      </c>
      <c r="AF3" s="35">
        <f>IF(AND(ISNUMBER(O3),ISNUMBER(X3)),X3-O3,"")</f>
        <v/>
      </c>
      <c r="AG3" s="36">
        <f>IF(AND(ISNUMBER(O3),ISNUMBER(X3)),IF(O3&lt;&gt;0,(X3-O3)/O3,""),"")</f>
        <v/>
      </c>
      <c r="AH3" s="37">
        <f>IF(AND(ISNUMBER(N3),ISNUMBER(W3)),W3-N3,"")</f>
        <v/>
      </c>
      <c r="AI3" s="38">
        <f>IF(COUNT(R3,Q3,S3,T3)=0,"",IF(ISNUMBER(R3),--(R3&gt;=1.1),0)+IF(AND(ISNUMBER(Q3),ISNUMBER(I3)),--(Q3&gt;=0.95*(220-I3)),0)+IF(ISNUMBER(S3),--(S3&gt;=17),0)+IF(ISNUMBER(T3),--(T3=1),0))</f>
        <v/>
      </c>
      <c r="AJ3" s="38">
        <f>IF(COUNT(AA3,Z3,AB3,AC3)=0,"",IF(ISNUMBER(AA3),--(AA3&gt;=1.1),0)+IF(AND(ISNUMBER(Z3),ISNUMBER(I3)),--(Z3&gt;=0.95*(220-I3)),0)+IF(ISNUMBER(AB3),--(AB3&gt;=17),0)+IF(ISNUMBER(AC3),--(AC3=1),0))</f>
        <v/>
      </c>
      <c r="AK3" s="39">
        <f>IF(A3="","",TRIM(IF(COUNTIF($A$4:$A$33,A3)&gt;1,"ID 중복 ","")&amp;IF(LEN(A3)&lt;&gt;LEN(TRIM(A3)),"ID 앞뒤 공백 ","")&amp;IF(AND(B3&lt;&gt;1,B3&lt;&gt;2),"집단코드 확인 ","")&amp;IF(OR(D3="",AND(D3&lt;&gt;0,D3&lt;&gt;1)),"분석포함 코드 확인(빈칸=제외됨) ","")&amp;IF(AND(ISNUMBER(D3),D3=0,E3=""),"제외 사유 없음 ","")&amp;IF(AND(O3&lt;&gt;"",NOT(ISNUMBER(O3))),"사전VO2 숫자 아님 ","")&amp;IF(AND(X3&lt;&gt;"",NOT(ISNUMBER(X3))),"사후VO2 숫자 아님 ","")&amp;IF(AND(N3&lt;&gt;"",NOT(ISNUMBER(N3))),"사전체중 숫자 아님 ","")&amp;IF(AND(W3&lt;&gt;"",NOT(ISNUMBER(W3))),"사후체중 숫자 아님 ","")&amp;IF(ISNUMBER(O3),IF(OR(O3&lt;25,O3&gt;85),"사전VO2 범위(25–85) 확인 ",""),"")&amp;IF(ISNUMBER(X3),IF(OR(X3&lt;25,X3&gt;85),"사후VO2 범위(25–85) 확인 ",""),"")&amp;IF(AND(ISNUMBER(O3),ISNUMBER(X3)),IF(ABS(X3-O3)&gt;12,"VO2 변화량 12 초과 확인 ",""),"")&amp;IF(AND(ISNUMBER(P3),ISNUMBER(N3),ISNUMBER(O3)),IF(N3&lt;=0,"사전 체중 확인 ",IF(ABS(P3/N3-O3)&gt;0.5,"사전 절대값/체중≠상대값 ","")),"")&amp;IF(AND(ISNUMBER(Y3),ISNUMBER(W3),ISNUMBER(X3)),IF(W3&lt;=0,"사후 체중 확인 ",IF(ABS(Y3/W3-X3)&gt;0.5,"사후 절대값/체중≠상대값 ","")),"")&amp;IF(ISNUMBER(R3),IF(OR(R3&lt;0.85,R3&gt;1.5),"사전 RER 범위 확인 ",""),"")&amp;IF(ISNUMBER(AA3),IF(OR(AA3&lt;0.85,AA3&gt;1.5),"사후 RER 범위 확인 ",""),"")&amp;IF(ISNUMBER(Q3),IF(OR(Q3&lt;150,Q3&gt;225),"사전 최고심박 범위 확인 ",""),"")&amp;IF(ISNUMBER(Z3),IF(OR(Z3&lt;150,Z3&gt;225),"사후 최고심박 범위 확인 ",""),"")&amp;IF(AND(ISNUMBER(U3),ISNUMBER(AI3)),IF(AND(U3=1,AI3&lt;2),"사전 판정충족=1이나 기준 2개 미만 ",""),"")&amp;IF(AND(ISNUMBER(AD3),ISNUMBER(AJ3)),IF(AND(AD3=1,AJ3&lt;2),"사후 판정충족=1이나 기준 2개 미만 ",""),"")&amp;IF(AND(V3&lt;&gt;"",NOT(ISNUMBER(V3))),"사전 검사일 날짜형식 아님 ","")&amp;IF(AND(AE3&lt;&gt;"",NOT(ISNUMBER(AE3))),"사후 검사일 날짜형식 아님 ","")&amp;IF(AND(ISNUMBER(V3),ISNUMBER(AE3)),IF(AE3&lt;=V3,"검사일 역전 ",IF(OR(AE3-V3&lt;77,AE3-V3&gt;126),"사전–사후 간격(11–18주) 확인 ","")),"")&amp;IF(D3=1,IF(OR(NOT(ISNUMBER(O3)),NOT(ISNUMBER(X3))),"분석포함인데 VO2 결측 ",""),"")))</f>
        <v/>
      </c>
    </row>
    <row r="4">
      <c r="A4" s="40" t="n"/>
      <c r="B4" s="41" t="n"/>
      <c r="C4" s="42">
        <f>IF(B4="","",IF(B4=1,"실험군",IF(B4=2,"통제군","코드오류")))</f>
        <v/>
      </c>
      <c r="D4" s="41" t="n"/>
      <c r="E4" s="43" t="n"/>
      <c r="F4" s="43" t="n"/>
      <c r="G4" s="40" t="n"/>
      <c r="H4" s="41" t="n"/>
      <c r="I4" s="41" t="n"/>
      <c r="J4" s="44" t="n"/>
      <c r="K4" s="40" t="n"/>
      <c r="L4" s="44" t="n"/>
      <c r="M4" s="43" t="n"/>
      <c r="N4" s="44" t="n"/>
      <c r="O4" s="45" t="n"/>
      <c r="P4" s="41" t="n"/>
      <c r="Q4" s="41" t="n"/>
      <c r="R4" s="45" t="n"/>
      <c r="S4" s="41" t="n"/>
      <c r="T4" s="41" t="n"/>
      <c r="U4" s="41" t="n"/>
      <c r="V4" s="46" t="n"/>
      <c r="W4" s="44" t="n"/>
      <c r="X4" s="45" t="n"/>
      <c r="Y4" s="41" t="n"/>
      <c r="Z4" s="41" t="n"/>
      <c r="AA4" s="45" t="n"/>
      <c r="AB4" s="41" t="n"/>
      <c r="AC4" s="41" t="n"/>
      <c r="AD4" s="41" t="n"/>
      <c r="AE4" s="46" t="n"/>
      <c r="AF4" s="47">
        <f>IF(AND(ISNUMBER(O4),ISNUMBER(X4)),X4-O4,"")</f>
        <v/>
      </c>
      <c r="AG4" s="48">
        <f>IF(AND(ISNUMBER(O4),ISNUMBER(X4)),IF(O4&lt;&gt;0,(X4-O4)/O4,""),"")</f>
        <v/>
      </c>
      <c r="AH4" s="49">
        <f>IF(AND(ISNUMBER(N4),ISNUMBER(W4)),W4-N4,"")</f>
        <v/>
      </c>
      <c r="AI4" s="50">
        <f>IF(COUNT(R4,Q4,S4,T4)=0,"",IF(ISNUMBER(R4),--(R4&gt;=1.1),0)+IF(AND(ISNUMBER(Q4),ISNUMBER(I4)),--(Q4&gt;=0.95*(220-I4)),0)+IF(ISNUMBER(S4),--(S4&gt;=17),0)+IF(ISNUMBER(T4),--(T4=1),0))</f>
        <v/>
      </c>
      <c r="AJ4" s="50">
        <f>IF(COUNT(AA4,Z4,AB4,AC4)=0,"",IF(ISNUMBER(AA4),--(AA4&gt;=1.1),0)+IF(AND(ISNUMBER(Z4),ISNUMBER(I4)),--(Z4&gt;=0.95*(220-I4)),0)+IF(ISNUMBER(AB4),--(AB4&gt;=17),0)+IF(ISNUMBER(AC4),--(AC4=1),0))</f>
        <v/>
      </c>
      <c r="AK4" s="51">
        <f>IF(A4="","",TRIM(IF(COUNTIF($A$4:$A$33,A4)&gt;1,"ID 중복 ","")&amp;IF(LEN(A4)&lt;&gt;LEN(TRIM(A4)),"ID 앞뒤 공백 ","")&amp;IF(AND(B4&lt;&gt;1,B4&lt;&gt;2),"집단코드 확인 ","")&amp;IF(OR(D4="",AND(D4&lt;&gt;0,D4&lt;&gt;1)),"분석포함 코드 확인(빈칸=제외됨) ","")&amp;IF(AND(ISNUMBER(D4),D4=0,E4=""),"제외 사유 없음 ","")&amp;IF(AND(O4&lt;&gt;"",NOT(ISNUMBER(O4))),"사전VO2 숫자 아님 ","")&amp;IF(AND(X4&lt;&gt;"",NOT(ISNUMBER(X4))),"사후VO2 숫자 아님 ","")&amp;IF(AND(N4&lt;&gt;"",NOT(ISNUMBER(N4))),"사전체중 숫자 아님 ","")&amp;IF(AND(W4&lt;&gt;"",NOT(ISNUMBER(W4))),"사후체중 숫자 아님 ","")&amp;IF(ISNUMBER(O4),IF(OR(O4&lt;25,O4&gt;85),"사전VO2 범위(25–85) 확인 ",""),"")&amp;IF(ISNUMBER(X4),IF(OR(X4&lt;25,X4&gt;85),"사후VO2 범위(25–85) 확인 ",""),"")&amp;IF(AND(ISNUMBER(O4),ISNUMBER(X4)),IF(ABS(X4-O4)&gt;12,"VO2 변화량 12 초과 확인 ",""),"")&amp;IF(AND(ISNUMBER(P4),ISNUMBER(N4),ISNUMBER(O4)),IF(N4&lt;=0,"사전 체중 확인 ",IF(ABS(P4/N4-O4)&gt;0.5,"사전 절대값/체중≠상대값 ","")),"")&amp;IF(AND(ISNUMBER(Y4),ISNUMBER(W4),ISNUMBER(X4)),IF(W4&lt;=0,"사후 체중 확인 ",IF(ABS(Y4/W4-X4)&gt;0.5,"사후 절대값/체중≠상대값 ","")),"")&amp;IF(ISNUMBER(R4),IF(OR(R4&lt;0.85,R4&gt;1.5),"사전 RER 범위 확인 ",""),"")&amp;IF(ISNUMBER(AA4),IF(OR(AA4&lt;0.85,AA4&gt;1.5),"사후 RER 범위 확인 ",""),"")&amp;IF(ISNUMBER(Q4),IF(OR(Q4&lt;150,Q4&gt;225),"사전 최고심박 범위 확인 ",""),"")&amp;IF(ISNUMBER(Z4),IF(OR(Z4&lt;150,Z4&gt;225),"사후 최고심박 범위 확인 ",""),"")&amp;IF(AND(ISNUMBER(U4),ISNUMBER(AI4)),IF(AND(U4=1,AI4&lt;2),"사전 판정충족=1이나 기준 2개 미만 ",""),"")&amp;IF(AND(ISNUMBER(AD4),ISNUMBER(AJ4)),IF(AND(AD4=1,AJ4&lt;2),"사후 판정충족=1이나 기준 2개 미만 ",""),"")&amp;IF(AND(V4&lt;&gt;"",NOT(ISNUMBER(V4))),"사전 검사일 날짜형식 아님 ","")&amp;IF(AND(AE4&lt;&gt;"",NOT(ISNUMBER(AE4))),"사후 검사일 날짜형식 아님 ","")&amp;IF(AND(ISNUMBER(V4),ISNUMBER(AE4)),IF(AE4&lt;=V4,"검사일 역전 ",IF(OR(AE4-V4&lt;77,AE4-V4&gt;126),"사전–사후 간격(11–18주) 확인 ","")),"")&amp;IF(D4=1,IF(OR(NOT(ISNUMBER(O4)),NOT(ISNUMBER(X4))),"분석포함인데 VO2 결측 ",""),"")))</f>
        <v/>
      </c>
    </row>
    <row r="5">
      <c r="A5" s="40" t="n"/>
      <c r="B5" s="41" t="n"/>
      <c r="C5" s="42">
        <f>IF(B5="","",IF(B5=1,"실험군",IF(B5=2,"통제군","코드오류")))</f>
        <v/>
      </c>
      <c r="D5" s="41" t="n"/>
      <c r="E5" s="43" t="n"/>
      <c r="F5" s="43" t="n"/>
      <c r="G5" s="40" t="n"/>
      <c r="H5" s="41" t="n"/>
      <c r="I5" s="41" t="n"/>
      <c r="J5" s="44" t="n"/>
      <c r="K5" s="40" t="n"/>
      <c r="L5" s="44" t="n"/>
      <c r="M5" s="43" t="n"/>
      <c r="N5" s="44" t="n"/>
      <c r="O5" s="45" t="n"/>
      <c r="P5" s="41" t="n"/>
      <c r="Q5" s="41" t="n"/>
      <c r="R5" s="45" t="n"/>
      <c r="S5" s="41" t="n"/>
      <c r="T5" s="41" t="n"/>
      <c r="U5" s="41" t="n"/>
      <c r="V5" s="46" t="n"/>
      <c r="W5" s="44" t="n"/>
      <c r="X5" s="45" t="n"/>
      <c r="Y5" s="41" t="n"/>
      <c r="Z5" s="41" t="n"/>
      <c r="AA5" s="45" t="n"/>
      <c r="AB5" s="41" t="n"/>
      <c r="AC5" s="41" t="n"/>
      <c r="AD5" s="41" t="n"/>
      <c r="AE5" s="46" t="n"/>
      <c r="AF5" s="47">
        <f>IF(AND(ISNUMBER(O5),ISNUMBER(X5)),X5-O5,"")</f>
        <v/>
      </c>
      <c r="AG5" s="48">
        <f>IF(AND(ISNUMBER(O5),ISNUMBER(X5)),IF(O5&lt;&gt;0,(X5-O5)/O5,""),"")</f>
        <v/>
      </c>
      <c r="AH5" s="49">
        <f>IF(AND(ISNUMBER(N5),ISNUMBER(W5)),W5-N5,"")</f>
        <v/>
      </c>
      <c r="AI5" s="50">
        <f>IF(COUNT(R5,Q5,S5,T5)=0,"",IF(ISNUMBER(R5),--(R5&gt;=1.1),0)+IF(AND(ISNUMBER(Q5),ISNUMBER(I5)),--(Q5&gt;=0.95*(220-I5)),0)+IF(ISNUMBER(S5),--(S5&gt;=17),0)+IF(ISNUMBER(T5),--(T5=1),0))</f>
        <v/>
      </c>
      <c r="AJ5" s="50">
        <f>IF(COUNT(AA5,Z5,AB5,AC5)=0,"",IF(ISNUMBER(AA5),--(AA5&gt;=1.1),0)+IF(AND(ISNUMBER(Z5),ISNUMBER(I5)),--(Z5&gt;=0.95*(220-I5)),0)+IF(ISNUMBER(AB5),--(AB5&gt;=17),0)+IF(ISNUMBER(AC5),--(AC5=1),0))</f>
        <v/>
      </c>
      <c r="AK5" s="51">
        <f>IF(A5="","",TRIM(IF(COUNTIF($A$4:$A$33,A5)&gt;1,"ID 중복 ","")&amp;IF(LEN(A5)&lt;&gt;LEN(TRIM(A5)),"ID 앞뒤 공백 ","")&amp;IF(AND(B5&lt;&gt;1,B5&lt;&gt;2),"집단코드 확인 ","")&amp;IF(OR(D5="",AND(D5&lt;&gt;0,D5&lt;&gt;1)),"분석포함 코드 확인(빈칸=제외됨) ","")&amp;IF(AND(ISNUMBER(D5),D5=0,E5=""),"제외 사유 없음 ","")&amp;IF(AND(O5&lt;&gt;"",NOT(ISNUMBER(O5))),"사전VO2 숫자 아님 ","")&amp;IF(AND(X5&lt;&gt;"",NOT(ISNUMBER(X5))),"사후VO2 숫자 아님 ","")&amp;IF(AND(N5&lt;&gt;"",NOT(ISNUMBER(N5))),"사전체중 숫자 아님 ","")&amp;IF(AND(W5&lt;&gt;"",NOT(ISNUMBER(W5))),"사후체중 숫자 아님 ","")&amp;IF(ISNUMBER(O5),IF(OR(O5&lt;25,O5&gt;85),"사전VO2 범위(25–85) 확인 ",""),"")&amp;IF(ISNUMBER(X5),IF(OR(X5&lt;25,X5&gt;85),"사후VO2 범위(25–85) 확인 ",""),"")&amp;IF(AND(ISNUMBER(O5),ISNUMBER(X5)),IF(ABS(X5-O5)&gt;12,"VO2 변화량 12 초과 확인 ",""),"")&amp;IF(AND(ISNUMBER(P5),ISNUMBER(N5),ISNUMBER(O5)),IF(N5&lt;=0,"사전 체중 확인 ",IF(ABS(P5/N5-O5)&gt;0.5,"사전 절대값/체중≠상대값 ","")),"")&amp;IF(AND(ISNUMBER(Y5),ISNUMBER(W5),ISNUMBER(X5)),IF(W5&lt;=0,"사후 체중 확인 ",IF(ABS(Y5/W5-X5)&gt;0.5,"사후 절대값/체중≠상대값 ","")),"")&amp;IF(ISNUMBER(R5),IF(OR(R5&lt;0.85,R5&gt;1.5),"사전 RER 범위 확인 ",""),"")&amp;IF(ISNUMBER(AA5),IF(OR(AA5&lt;0.85,AA5&gt;1.5),"사후 RER 범위 확인 ",""),"")&amp;IF(ISNUMBER(Q5),IF(OR(Q5&lt;150,Q5&gt;225),"사전 최고심박 범위 확인 ",""),"")&amp;IF(ISNUMBER(Z5),IF(OR(Z5&lt;150,Z5&gt;225),"사후 최고심박 범위 확인 ",""),"")&amp;IF(AND(ISNUMBER(U5),ISNUMBER(AI5)),IF(AND(U5=1,AI5&lt;2),"사전 판정충족=1이나 기준 2개 미만 ",""),"")&amp;IF(AND(ISNUMBER(AD5),ISNUMBER(AJ5)),IF(AND(AD5=1,AJ5&lt;2),"사후 판정충족=1이나 기준 2개 미만 ",""),"")&amp;IF(AND(V5&lt;&gt;"",NOT(ISNUMBER(V5))),"사전 검사일 날짜형식 아님 ","")&amp;IF(AND(AE5&lt;&gt;"",NOT(ISNUMBER(AE5))),"사후 검사일 날짜형식 아님 ","")&amp;IF(AND(ISNUMBER(V5),ISNUMBER(AE5)),IF(AE5&lt;=V5,"검사일 역전 ",IF(OR(AE5-V5&lt;77,AE5-V5&gt;126),"사전–사후 간격(11–18주) 확인 ","")),"")&amp;IF(D5=1,IF(OR(NOT(ISNUMBER(O5)),NOT(ISNUMBER(X5))),"분석포함인데 VO2 결측 ",""),"")))</f>
        <v/>
      </c>
    </row>
    <row r="6">
      <c r="A6" s="40" t="n"/>
      <c r="B6" s="41" t="n"/>
      <c r="C6" s="42">
        <f>IF(B6="","",IF(B6=1,"실험군",IF(B6=2,"통제군","코드오류")))</f>
        <v/>
      </c>
      <c r="D6" s="41" t="n"/>
      <c r="E6" s="43" t="n"/>
      <c r="F6" s="43" t="n"/>
      <c r="G6" s="40" t="n"/>
      <c r="H6" s="41" t="n"/>
      <c r="I6" s="41" t="n"/>
      <c r="J6" s="44" t="n"/>
      <c r="K6" s="40" t="n"/>
      <c r="L6" s="44" t="n"/>
      <c r="M6" s="43" t="n"/>
      <c r="N6" s="44" t="n"/>
      <c r="O6" s="45" t="n"/>
      <c r="P6" s="41" t="n"/>
      <c r="Q6" s="41" t="n"/>
      <c r="R6" s="45" t="n"/>
      <c r="S6" s="41" t="n"/>
      <c r="T6" s="41" t="n"/>
      <c r="U6" s="41" t="n"/>
      <c r="V6" s="46" t="n"/>
      <c r="W6" s="44" t="n"/>
      <c r="X6" s="45" t="n"/>
      <c r="Y6" s="41" t="n"/>
      <c r="Z6" s="41" t="n"/>
      <c r="AA6" s="45" t="n"/>
      <c r="AB6" s="41" t="n"/>
      <c r="AC6" s="41" t="n"/>
      <c r="AD6" s="41" t="n"/>
      <c r="AE6" s="46" t="n"/>
      <c r="AF6" s="47">
        <f>IF(AND(ISNUMBER(O6),ISNUMBER(X6)),X6-O6,"")</f>
        <v/>
      </c>
      <c r="AG6" s="48">
        <f>IF(AND(ISNUMBER(O6),ISNUMBER(X6)),IF(O6&lt;&gt;0,(X6-O6)/O6,""),"")</f>
        <v/>
      </c>
      <c r="AH6" s="49">
        <f>IF(AND(ISNUMBER(N6),ISNUMBER(W6)),W6-N6,"")</f>
        <v/>
      </c>
      <c r="AI6" s="50">
        <f>IF(COUNT(R6,Q6,S6,T6)=0,"",IF(ISNUMBER(R6),--(R6&gt;=1.1),0)+IF(AND(ISNUMBER(Q6),ISNUMBER(I6)),--(Q6&gt;=0.95*(220-I6)),0)+IF(ISNUMBER(S6),--(S6&gt;=17),0)+IF(ISNUMBER(T6),--(T6=1),0))</f>
        <v/>
      </c>
      <c r="AJ6" s="50">
        <f>IF(COUNT(AA6,Z6,AB6,AC6)=0,"",IF(ISNUMBER(AA6),--(AA6&gt;=1.1),0)+IF(AND(ISNUMBER(Z6),ISNUMBER(I6)),--(Z6&gt;=0.95*(220-I6)),0)+IF(ISNUMBER(AB6),--(AB6&gt;=17),0)+IF(ISNUMBER(AC6),--(AC6=1),0))</f>
        <v/>
      </c>
      <c r="AK6" s="51">
        <f>IF(A6="","",TRIM(IF(COUNTIF($A$4:$A$33,A6)&gt;1,"ID 중복 ","")&amp;IF(LEN(A6)&lt;&gt;LEN(TRIM(A6)),"ID 앞뒤 공백 ","")&amp;IF(AND(B6&lt;&gt;1,B6&lt;&gt;2),"집단코드 확인 ","")&amp;IF(OR(D6="",AND(D6&lt;&gt;0,D6&lt;&gt;1)),"분석포함 코드 확인(빈칸=제외됨) ","")&amp;IF(AND(ISNUMBER(D6),D6=0,E6=""),"제외 사유 없음 ","")&amp;IF(AND(O6&lt;&gt;"",NOT(ISNUMBER(O6))),"사전VO2 숫자 아님 ","")&amp;IF(AND(X6&lt;&gt;"",NOT(ISNUMBER(X6))),"사후VO2 숫자 아님 ","")&amp;IF(AND(N6&lt;&gt;"",NOT(ISNUMBER(N6))),"사전체중 숫자 아님 ","")&amp;IF(AND(W6&lt;&gt;"",NOT(ISNUMBER(W6))),"사후체중 숫자 아님 ","")&amp;IF(ISNUMBER(O6),IF(OR(O6&lt;25,O6&gt;85),"사전VO2 범위(25–85) 확인 ",""),"")&amp;IF(ISNUMBER(X6),IF(OR(X6&lt;25,X6&gt;85),"사후VO2 범위(25–85) 확인 ",""),"")&amp;IF(AND(ISNUMBER(O6),ISNUMBER(X6)),IF(ABS(X6-O6)&gt;12,"VO2 변화량 12 초과 확인 ",""),"")&amp;IF(AND(ISNUMBER(P6),ISNUMBER(N6),ISNUMBER(O6)),IF(N6&lt;=0,"사전 체중 확인 ",IF(ABS(P6/N6-O6)&gt;0.5,"사전 절대값/체중≠상대값 ","")),"")&amp;IF(AND(ISNUMBER(Y6),ISNUMBER(W6),ISNUMBER(X6)),IF(W6&lt;=0,"사후 체중 확인 ",IF(ABS(Y6/W6-X6)&gt;0.5,"사후 절대값/체중≠상대값 ","")),"")&amp;IF(ISNUMBER(R6),IF(OR(R6&lt;0.85,R6&gt;1.5),"사전 RER 범위 확인 ",""),"")&amp;IF(ISNUMBER(AA6),IF(OR(AA6&lt;0.85,AA6&gt;1.5),"사후 RER 범위 확인 ",""),"")&amp;IF(ISNUMBER(Q6),IF(OR(Q6&lt;150,Q6&gt;225),"사전 최고심박 범위 확인 ",""),"")&amp;IF(ISNUMBER(Z6),IF(OR(Z6&lt;150,Z6&gt;225),"사후 최고심박 범위 확인 ",""),"")&amp;IF(AND(ISNUMBER(U6),ISNUMBER(AI6)),IF(AND(U6=1,AI6&lt;2),"사전 판정충족=1이나 기준 2개 미만 ",""),"")&amp;IF(AND(ISNUMBER(AD6),ISNUMBER(AJ6)),IF(AND(AD6=1,AJ6&lt;2),"사후 판정충족=1이나 기준 2개 미만 ",""),"")&amp;IF(AND(V6&lt;&gt;"",NOT(ISNUMBER(V6))),"사전 검사일 날짜형식 아님 ","")&amp;IF(AND(AE6&lt;&gt;"",NOT(ISNUMBER(AE6))),"사후 검사일 날짜형식 아님 ","")&amp;IF(AND(ISNUMBER(V6),ISNUMBER(AE6)),IF(AE6&lt;=V6,"검사일 역전 ",IF(OR(AE6-V6&lt;77,AE6-V6&gt;126),"사전–사후 간격(11–18주) 확인 ","")),"")&amp;IF(D6=1,IF(OR(NOT(ISNUMBER(O6)),NOT(ISNUMBER(X6))),"분석포함인데 VO2 결측 ",""),"")))</f>
        <v/>
      </c>
    </row>
    <row r="7">
      <c r="A7" s="40" t="n"/>
      <c r="B7" s="41" t="n"/>
      <c r="C7" s="42">
        <f>IF(B7="","",IF(B7=1,"실험군",IF(B7=2,"통제군","코드오류")))</f>
        <v/>
      </c>
      <c r="D7" s="41" t="n"/>
      <c r="E7" s="43" t="n"/>
      <c r="F7" s="43" t="n"/>
      <c r="G7" s="40" t="n"/>
      <c r="H7" s="41" t="n"/>
      <c r="I7" s="41" t="n"/>
      <c r="J7" s="44" t="n"/>
      <c r="K7" s="40" t="n"/>
      <c r="L7" s="44" t="n"/>
      <c r="M7" s="43" t="n"/>
      <c r="N7" s="44" t="n"/>
      <c r="O7" s="45" t="n"/>
      <c r="P7" s="41" t="n"/>
      <c r="Q7" s="41" t="n"/>
      <c r="R7" s="45" t="n"/>
      <c r="S7" s="41" t="n"/>
      <c r="T7" s="41" t="n"/>
      <c r="U7" s="41" t="n"/>
      <c r="V7" s="46" t="n"/>
      <c r="W7" s="44" t="n"/>
      <c r="X7" s="45" t="n"/>
      <c r="Y7" s="41" t="n"/>
      <c r="Z7" s="41" t="n"/>
      <c r="AA7" s="45" t="n"/>
      <c r="AB7" s="41" t="n"/>
      <c r="AC7" s="41" t="n"/>
      <c r="AD7" s="41" t="n"/>
      <c r="AE7" s="46" t="n"/>
      <c r="AF7" s="47">
        <f>IF(AND(ISNUMBER(O7),ISNUMBER(X7)),X7-O7,"")</f>
        <v/>
      </c>
      <c r="AG7" s="48">
        <f>IF(AND(ISNUMBER(O7),ISNUMBER(X7)),IF(O7&lt;&gt;0,(X7-O7)/O7,""),"")</f>
        <v/>
      </c>
      <c r="AH7" s="49">
        <f>IF(AND(ISNUMBER(N7),ISNUMBER(W7)),W7-N7,"")</f>
        <v/>
      </c>
      <c r="AI7" s="50">
        <f>IF(COUNT(R7,Q7,S7,T7)=0,"",IF(ISNUMBER(R7),--(R7&gt;=1.1),0)+IF(AND(ISNUMBER(Q7),ISNUMBER(I7)),--(Q7&gt;=0.95*(220-I7)),0)+IF(ISNUMBER(S7),--(S7&gt;=17),0)+IF(ISNUMBER(T7),--(T7=1),0))</f>
        <v/>
      </c>
      <c r="AJ7" s="50">
        <f>IF(COUNT(AA7,Z7,AB7,AC7)=0,"",IF(ISNUMBER(AA7),--(AA7&gt;=1.1),0)+IF(AND(ISNUMBER(Z7),ISNUMBER(I7)),--(Z7&gt;=0.95*(220-I7)),0)+IF(ISNUMBER(AB7),--(AB7&gt;=17),0)+IF(ISNUMBER(AC7),--(AC7=1),0))</f>
        <v/>
      </c>
      <c r="AK7" s="51">
        <f>IF(A7="","",TRIM(IF(COUNTIF($A$4:$A$33,A7)&gt;1,"ID 중복 ","")&amp;IF(LEN(A7)&lt;&gt;LEN(TRIM(A7)),"ID 앞뒤 공백 ","")&amp;IF(AND(B7&lt;&gt;1,B7&lt;&gt;2),"집단코드 확인 ","")&amp;IF(OR(D7="",AND(D7&lt;&gt;0,D7&lt;&gt;1)),"분석포함 코드 확인(빈칸=제외됨) ","")&amp;IF(AND(ISNUMBER(D7),D7=0,E7=""),"제외 사유 없음 ","")&amp;IF(AND(O7&lt;&gt;"",NOT(ISNUMBER(O7))),"사전VO2 숫자 아님 ","")&amp;IF(AND(X7&lt;&gt;"",NOT(ISNUMBER(X7))),"사후VO2 숫자 아님 ","")&amp;IF(AND(N7&lt;&gt;"",NOT(ISNUMBER(N7))),"사전체중 숫자 아님 ","")&amp;IF(AND(W7&lt;&gt;"",NOT(ISNUMBER(W7))),"사후체중 숫자 아님 ","")&amp;IF(ISNUMBER(O7),IF(OR(O7&lt;25,O7&gt;85),"사전VO2 범위(25–85) 확인 ",""),"")&amp;IF(ISNUMBER(X7),IF(OR(X7&lt;25,X7&gt;85),"사후VO2 범위(25–85) 확인 ",""),"")&amp;IF(AND(ISNUMBER(O7),ISNUMBER(X7)),IF(ABS(X7-O7)&gt;12,"VO2 변화량 12 초과 확인 ",""),"")&amp;IF(AND(ISNUMBER(P7),ISNUMBER(N7),ISNUMBER(O7)),IF(N7&lt;=0,"사전 체중 확인 ",IF(ABS(P7/N7-O7)&gt;0.5,"사전 절대값/체중≠상대값 ","")),"")&amp;IF(AND(ISNUMBER(Y7),ISNUMBER(W7),ISNUMBER(X7)),IF(W7&lt;=0,"사후 체중 확인 ",IF(ABS(Y7/W7-X7)&gt;0.5,"사후 절대값/체중≠상대값 ","")),"")&amp;IF(ISNUMBER(R7),IF(OR(R7&lt;0.85,R7&gt;1.5),"사전 RER 범위 확인 ",""),"")&amp;IF(ISNUMBER(AA7),IF(OR(AA7&lt;0.85,AA7&gt;1.5),"사후 RER 범위 확인 ",""),"")&amp;IF(ISNUMBER(Q7),IF(OR(Q7&lt;150,Q7&gt;225),"사전 최고심박 범위 확인 ",""),"")&amp;IF(ISNUMBER(Z7),IF(OR(Z7&lt;150,Z7&gt;225),"사후 최고심박 범위 확인 ",""),"")&amp;IF(AND(ISNUMBER(U7),ISNUMBER(AI7)),IF(AND(U7=1,AI7&lt;2),"사전 판정충족=1이나 기준 2개 미만 ",""),"")&amp;IF(AND(ISNUMBER(AD7),ISNUMBER(AJ7)),IF(AND(AD7=1,AJ7&lt;2),"사후 판정충족=1이나 기준 2개 미만 ",""),"")&amp;IF(AND(V7&lt;&gt;"",NOT(ISNUMBER(V7))),"사전 검사일 날짜형식 아님 ","")&amp;IF(AND(AE7&lt;&gt;"",NOT(ISNUMBER(AE7))),"사후 검사일 날짜형식 아님 ","")&amp;IF(AND(ISNUMBER(V7),ISNUMBER(AE7)),IF(AE7&lt;=V7,"검사일 역전 ",IF(OR(AE7-V7&lt;77,AE7-V7&gt;126),"사전–사후 간격(11–18주) 확인 ","")),"")&amp;IF(D7=1,IF(OR(NOT(ISNUMBER(O7)),NOT(ISNUMBER(X7))),"분석포함인데 VO2 결측 ",""),"")))</f>
        <v/>
      </c>
    </row>
    <row r="8">
      <c r="A8" s="40" t="n"/>
      <c r="B8" s="41" t="n"/>
      <c r="C8" s="42">
        <f>IF(B8="","",IF(B8=1,"실험군",IF(B8=2,"통제군","코드오류")))</f>
        <v/>
      </c>
      <c r="D8" s="41" t="n"/>
      <c r="E8" s="43" t="n"/>
      <c r="F8" s="43" t="n"/>
      <c r="G8" s="40" t="n"/>
      <c r="H8" s="41" t="n"/>
      <c r="I8" s="41" t="n"/>
      <c r="J8" s="44" t="n"/>
      <c r="K8" s="40" t="n"/>
      <c r="L8" s="44" t="n"/>
      <c r="M8" s="43" t="n"/>
      <c r="N8" s="44" t="n"/>
      <c r="O8" s="45" t="n"/>
      <c r="P8" s="41" t="n"/>
      <c r="Q8" s="41" t="n"/>
      <c r="R8" s="45" t="n"/>
      <c r="S8" s="41" t="n"/>
      <c r="T8" s="41" t="n"/>
      <c r="U8" s="41" t="n"/>
      <c r="V8" s="46" t="n"/>
      <c r="W8" s="44" t="n"/>
      <c r="X8" s="45" t="n"/>
      <c r="Y8" s="41" t="n"/>
      <c r="Z8" s="41" t="n"/>
      <c r="AA8" s="45" t="n"/>
      <c r="AB8" s="41" t="n"/>
      <c r="AC8" s="41" t="n"/>
      <c r="AD8" s="41" t="n"/>
      <c r="AE8" s="46" t="n"/>
      <c r="AF8" s="47">
        <f>IF(AND(ISNUMBER(O8),ISNUMBER(X8)),X8-O8,"")</f>
        <v/>
      </c>
      <c r="AG8" s="48">
        <f>IF(AND(ISNUMBER(O8),ISNUMBER(X8)),IF(O8&lt;&gt;0,(X8-O8)/O8,""),"")</f>
        <v/>
      </c>
      <c r="AH8" s="49">
        <f>IF(AND(ISNUMBER(N8),ISNUMBER(W8)),W8-N8,"")</f>
        <v/>
      </c>
      <c r="AI8" s="50">
        <f>IF(COUNT(R8,Q8,S8,T8)=0,"",IF(ISNUMBER(R8),--(R8&gt;=1.1),0)+IF(AND(ISNUMBER(Q8),ISNUMBER(I8)),--(Q8&gt;=0.95*(220-I8)),0)+IF(ISNUMBER(S8),--(S8&gt;=17),0)+IF(ISNUMBER(T8),--(T8=1),0))</f>
        <v/>
      </c>
      <c r="AJ8" s="50">
        <f>IF(COUNT(AA8,Z8,AB8,AC8)=0,"",IF(ISNUMBER(AA8),--(AA8&gt;=1.1),0)+IF(AND(ISNUMBER(Z8),ISNUMBER(I8)),--(Z8&gt;=0.95*(220-I8)),0)+IF(ISNUMBER(AB8),--(AB8&gt;=17),0)+IF(ISNUMBER(AC8),--(AC8=1),0))</f>
        <v/>
      </c>
      <c r="AK8" s="51">
        <f>IF(A8="","",TRIM(IF(COUNTIF($A$4:$A$33,A8)&gt;1,"ID 중복 ","")&amp;IF(LEN(A8)&lt;&gt;LEN(TRIM(A8)),"ID 앞뒤 공백 ","")&amp;IF(AND(B8&lt;&gt;1,B8&lt;&gt;2),"집단코드 확인 ","")&amp;IF(OR(D8="",AND(D8&lt;&gt;0,D8&lt;&gt;1)),"분석포함 코드 확인(빈칸=제외됨) ","")&amp;IF(AND(ISNUMBER(D8),D8=0,E8=""),"제외 사유 없음 ","")&amp;IF(AND(O8&lt;&gt;"",NOT(ISNUMBER(O8))),"사전VO2 숫자 아님 ","")&amp;IF(AND(X8&lt;&gt;"",NOT(ISNUMBER(X8))),"사후VO2 숫자 아님 ","")&amp;IF(AND(N8&lt;&gt;"",NOT(ISNUMBER(N8))),"사전체중 숫자 아님 ","")&amp;IF(AND(W8&lt;&gt;"",NOT(ISNUMBER(W8))),"사후체중 숫자 아님 ","")&amp;IF(ISNUMBER(O8),IF(OR(O8&lt;25,O8&gt;85),"사전VO2 범위(25–85) 확인 ",""),"")&amp;IF(ISNUMBER(X8),IF(OR(X8&lt;25,X8&gt;85),"사후VO2 범위(25–85) 확인 ",""),"")&amp;IF(AND(ISNUMBER(O8),ISNUMBER(X8)),IF(ABS(X8-O8)&gt;12,"VO2 변화량 12 초과 확인 ",""),"")&amp;IF(AND(ISNUMBER(P8),ISNUMBER(N8),ISNUMBER(O8)),IF(N8&lt;=0,"사전 체중 확인 ",IF(ABS(P8/N8-O8)&gt;0.5,"사전 절대값/체중≠상대값 ","")),"")&amp;IF(AND(ISNUMBER(Y8),ISNUMBER(W8),ISNUMBER(X8)),IF(W8&lt;=0,"사후 체중 확인 ",IF(ABS(Y8/W8-X8)&gt;0.5,"사후 절대값/체중≠상대값 ","")),"")&amp;IF(ISNUMBER(R8),IF(OR(R8&lt;0.85,R8&gt;1.5),"사전 RER 범위 확인 ",""),"")&amp;IF(ISNUMBER(AA8),IF(OR(AA8&lt;0.85,AA8&gt;1.5),"사후 RER 범위 확인 ",""),"")&amp;IF(ISNUMBER(Q8),IF(OR(Q8&lt;150,Q8&gt;225),"사전 최고심박 범위 확인 ",""),"")&amp;IF(ISNUMBER(Z8),IF(OR(Z8&lt;150,Z8&gt;225),"사후 최고심박 범위 확인 ",""),"")&amp;IF(AND(ISNUMBER(U8),ISNUMBER(AI8)),IF(AND(U8=1,AI8&lt;2),"사전 판정충족=1이나 기준 2개 미만 ",""),"")&amp;IF(AND(ISNUMBER(AD8),ISNUMBER(AJ8)),IF(AND(AD8=1,AJ8&lt;2),"사후 판정충족=1이나 기준 2개 미만 ",""),"")&amp;IF(AND(V8&lt;&gt;"",NOT(ISNUMBER(V8))),"사전 검사일 날짜형식 아님 ","")&amp;IF(AND(AE8&lt;&gt;"",NOT(ISNUMBER(AE8))),"사후 검사일 날짜형식 아님 ","")&amp;IF(AND(ISNUMBER(V8),ISNUMBER(AE8)),IF(AE8&lt;=V8,"검사일 역전 ",IF(OR(AE8-V8&lt;77,AE8-V8&gt;126),"사전–사후 간격(11–18주) 확인 ","")),"")&amp;IF(D8=1,IF(OR(NOT(ISNUMBER(O8)),NOT(ISNUMBER(X8))),"분석포함인데 VO2 결측 ",""),"")))</f>
        <v/>
      </c>
    </row>
    <row r="9">
      <c r="A9" s="40" t="n"/>
      <c r="B9" s="41" t="n"/>
      <c r="C9" s="42">
        <f>IF(B9="","",IF(B9=1,"실험군",IF(B9=2,"통제군","코드오류")))</f>
        <v/>
      </c>
      <c r="D9" s="41" t="n"/>
      <c r="E9" s="43" t="n"/>
      <c r="F9" s="43" t="n"/>
      <c r="G9" s="40" t="n"/>
      <c r="H9" s="41" t="n"/>
      <c r="I9" s="41" t="n"/>
      <c r="J9" s="44" t="n"/>
      <c r="K9" s="40" t="n"/>
      <c r="L9" s="44" t="n"/>
      <c r="M9" s="43" t="n"/>
      <c r="N9" s="44" t="n"/>
      <c r="O9" s="45" t="n"/>
      <c r="P9" s="41" t="n"/>
      <c r="Q9" s="41" t="n"/>
      <c r="R9" s="45" t="n"/>
      <c r="S9" s="41" t="n"/>
      <c r="T9" s="41" t="n"/>
      <c r="U9" s="41" t="n"/>
      <c r="V9" s="46" t="n"/>
      <c r="W9" s="44" t="n"/>
      <c r="X9" s="45" t="n"/>
      <c r="Y9" s="41" t="n"/>
      <c r="Z9" s="41" t="n"/>
      <c r="AA9" s="45" t="n"/>
      <c r="AB9" s="41" t="n"/>
      <c r="AC9" s="41" t="n"/>
      <c r="AD9" s="41" t="n"/>
      <c r="AE9" s="46" t="n"/>
      <c r="AF9" s="47">
        <f>IF(AND(ISNUMBER(O9),ISNUMBER(X9)),X9-O9,"")</f>
        <v/>
      </c>
      <c r="AG9" s="48">
        <f>IF(AND(ISNUMBER(O9),ISNUMBER(X9)),IF(O9&lt;&gt;0,(X9-O9)/O9,""),"")</f>
        <v/>
      </c>
      <c r="AH9" s="49">
        <f>IF(AND(ISNUMBER(N9),ISNUMBER(W9)),W9-N9,"")</f>
        <v/>
      </c>
      <c r="AI9" s="50">
        <f>IF(COUNT(R9,Q9,S9,T9)=0,"",IF(ISNUMBER(R9),--(R9&gt;=1.1),0)+IF(AND(ISNUMBER(Q9),ISNUMBER(I9)),--(Q9&gt;=0.95*(220-I9)),0)+IF(ISNUMBER(S9),--(S9&gt;=17),0)+IF(ISNUMBER(T9),--(T9=1),0))</f>
        <v/>
      </c>
      <c r="AJ9" s="50">
        <f>IF(COUNT(AA9,Z9,AB9,AC9)=0,"",IF(ISNUMBER(AA9),--(AA9&gt;=1.1),0)+IF(AND(ISNUMBER(Z9),ISNUMBER(I9)),--(Z9&gt;=0.95*(220-I9)),0)+IF(ISNUMBER(AB9),--(AB9&gt;=17),0)+IF(ISNUMBER(AC9),--(AC9=1),0))</f>
        <v/>
      </c>
      <c r="AK9" s="51">
        <f>IF(A9="","",TRIM(IF(COUNTIF($A$4:$A$33,A9)&gt;1,"ID 중복 ","")&amp;IF(LEN(A9)&lt;&gt;LEN(TRIM(A9)),"ID 앞뒤 공백 ","")&amp;IF(AND(B9&lt;&gt;1,B9&lt;&gt;2),"집단코드 확인 ","")&amp;IF(OR(D9="",AND(D9&lt;&gt;0,D9&lt;&gt;1)),"분석포함 코드 확인(빈칸=제외됨) ","")&amp;IF(AND(ISNUMBER(D9),D9=0,E9=""),"제외 사유 없음 ","")&amp;IF(AND(O9&lt;&gt;"",NOT(ISNUMBER(O9))),"사전VO2 숫자 아님 ","")&amp;IF(AND(X9&lt;&gt;"",NOT(ISNUMBER(X9))),"사후VO2 숫자 아님 ","")&amp;IF(AND(N9&lt;&gt;"",NOT(ISNUMBER(N9))),"사전체중 숫자 아님 ","")&amp;IF(AND(W9&lt;&gt;"",NOT(ISNUMBER(W9))),"사후체중 숫자 아님 ","")&amp;IF(ISNUMBER(O9),IF(OR(O9&lt;25,O9&gt;85),"사전VO2 범위(25–85) 확인 ",""),"")&amp;IF(ISNUMBER(X9),IF(OR(X9&lt;25,X9&gt;85),"사후VO2 범위(25–85) 확인 ",""),"")&amp;IF(AND(ISNUMBER(O9),ISNUMBER(X9)),IF(ABS(X9-O9)&gt;12,"VO2 변화량 12 초과 확인 ",""),"")&amp;IF(AND(ISNUMBER(P9),ISNUMBER(N9),ISNUMBER(O9)),IF(N9&lt;=0,"사전 체중 확인 ",IF(ABS(P9/N9-O9)&gt;0.5,"사전 절대값/체중≠상대값 ","")),"")&amp;IF(AND(ISNUMBER(Y9),ISNUMBER(W9),ISNUMBER(X9)),IF(W9&lt;=0,"사후 체중 확인 ",IF(ABS(Y9/W9-X9)&gt;0.5,"사후 절대값/체중≠상대값 ","")),"")&amp;IF(ISNUMBER(R9),IF(OR(R9&lt;0.85,R9&gt;1.5),"사전 RER 범위 확인 ",""),"")&amp;IF(ISNUMBER(AA9),IF(OR(AA9&lt;0.85,AA9&gt;1.5),"사후 RER 범위 확인 ",""),"")&amp;IF(ISNUMBER(Q9),IF(OR(Q9&lt;150,Q9&gt;225),"사전 최고심박 범위 확인 ",""),"")&amp;IF(ISNUMBER(Z9),IF(OR(Z9&lt;150,Z9&gt;225),"사후 최고심박 범위 확인 ",""),"")&amp;IF(AND(ISNUMBER(U9),ISNUMBER(AI9)),IF(AND(U9=1,AI9&lt;2),"사전 판정충족=1이나 기준 2개 미만 ",""),"")&amp;IF(AND(ISNUMBER(AD9),ISNUMBER(AJ9)),IF(AND(AD9=1,AJ9&lt;2),"사후 판정충족=1이나 기준 2개 미만 ",""),"")&amp;IF(AND(V9&lt;&gt;"",NOT(ISNUMBER(V9))),"사전 검사일 날짜형식 아님 ","")&amp;IF(AND(AE9&lt;&gt;"",NOT(ISNUMBER(AE9))),"사후 검사일 날짜형식 아님 ","")&amp;IF(AND(ISNUMBER(V9),ISNUMBER(AE9)),IF(AE9&lt;=V9,"검사일 역전 ",IF(OR(AE9-V9&lt;77,AE9-V9&gt;126),"사전–사후 간격(11–18주) 확인 ","")),"")&amp;IF(D9=1,IF(OR(NOT(ISNUMBER(O9)),NOT(ISNUMBER(X9))),"분석포함인데 VO2 결측 ",""),"")))</f>
        <v/>
      </c>
    </row>
    <row r="10">
      <c r="A10" s="40" t="n"/>
      <c r="B10" s="41" t="n"/>
      <c r="C10" s="42">
        <f>IF(B10="","",IF(B10=1,"실험군",IF(B10=2,"통제군","코드오류")))</f>
        <v/>
      </c>
      <c r="D10" s="41" t="n"/>
      <c r="E10" s="43" t="n"/>
      <c r="F10" s="43" t="n"/>
      <c r="G10" s="40" t="n"/>
      <c r="H10" s="41" t="n"/>
      <c r="I10" s="41" t="n"/>
      <c r="J10" s="44" t="n"/>
      <c r="K10" s="40" t="n"/>
      <c r="L10" s="44" t="n"/>
      <c r="M10" s="43" t="n"/>
      <c r="N10" s="44" t="n"/>
      <c r="O10" s="45" t="n"/>
      <c r="P10" s="41" t="n"/>
      <c r="Q10" s="41" t="n"/>
      <c r="R10" s="45" t="n"/>
      <c r="S10" s="41" t="n"/>
      <c r="T10" s="41" t="n"/>
      <c r="U10" s="41" t="n"/>
      <c r="V10" s="46" t="n"/>
      <c r="W10" s="44" t="n"/>
      <c r="X10" s="45" t="n"/>
      <c r="Y10" s="41" t="n"/>
      <c r="Z10" s="41" t="n"/>
      <c r="AA10" s="45" t="n"/>
      <c r="AB10" s="41" t="n"/>
      <c r="AC10" s="41" t="n"/>
      <c r="AD10" s="41" t="n"/>
      <c r="AE10" s="46" t="n"/>
      <c r="AF10" s="47">
        <f>IF(AND(ISNUMBER(O10),ISNUMBER(X10)),X10-O10,"")</f>
        <v/>
      </c>
      <c r="AG10" s="48">
        <f>IF(AND(ISNUMBER(O10),ISNUMBER(X10)),IF(O10&lt;&gt;0,(X10-O10)/O10,""),"")</f>
        <v/>
      </c>
      <c r="AH10" s="49">
        <f>IF(AND(ISNUMBER(N10),ISNUMBER(W10)),W10-N10,"")</f>
        <v/>
      </c>
      <c r="AI10" s="50">
        <f>IF(COUNT(R10,Q10,S10,T10)=0,"",IF(ISNUMBER(R10),--(R10&gt;=1.1),0)+IF(AND(ISNUMBER(Q10),ISNUMBER(I10)),--(Q10&gt;=0.95*(220-I10)),0)+IF(ISNUMBER(S10),--(S10&gt;=17),0)+IF(ISNUMBER(T10),--(T10=1),0))</f>
        <v/>
      </c>
      <c r="AJ10" s="50">
        <f>IF(COUNT(AA10,Z10,AB10,AC10)=0,"",IF(ISNUMBER(AA10),--(AA10&gt;=1.1),0)+IF(AND(ISNUMBER(Z10),ISNUMBER(I10)),--(Z10&gt;=0.95*(220-I10)),0)+IF(ISNUMBER(AB10),--(AB10&gt;=17),0)+IF(ISNUMBER(AC10),--(AC10=1),0))</f>
        <v/>
      </c>
      <c r="AK10" s="51">
        <f>IF(A10="","",TRIM(IF(COUNTIF($A$4:$A$33,A10)&gt;1,"ID 중복 ","")&amp;IF(LEN(A10)&lt;&gt;LEN(TRIM(A10)),"ID 앞뒤 공백 ","")&amp;IF(AND(B10&lt;&gt;1,B10&lt;&gt;2),"집단코드 확인 ","")&amp;IF(OR(D10="",AND(D10&lt;&gt;0,D10&lt;&gt;1)),"분석포함 코드 확인(빈칸=제외됨) ","")&amp;IF(AND(ISNUMBER(D10),D10=0,E10=""),"제외 사유 없음 ","")&amp;IF(AND(O10&lt;&gt;"",NOT(ISNUMBER(O10))),"사전VO2 숫자 아님 ","")&amp;IF(AND(X10&lt;&gt;"",NOT(ISNUMBER(X10))),"사후VO2 숫자 아님 ","")&amp;IF(AND(N10&lt;&gt;"",NOT(ISNUMBER(N10))),"사전체중 숫자 아님 ","")&amp;IF(AND(W10&lt;&gt;"",NOT(ISNUMBER(W10))),"사후체중 숫자 아님 ","")&amp;IF(ISNUMBER(O10),IF(OR(O10&lt;25,O10&gt;85),"사전VO2 범위(25–85) 확인 ",""),"")&amp;IF(ISNUMBER(X10),IF(OR(X10&lt;25,X10&gt;85),"사후VO2 범위(25–85) 확인 ",""),"")&amp;IF(AND(ISNUMBER(O10),ISNUMBER(X10)),IF(ABS(X10-O10)&gt;12,"VO2 변화량 12 초과 확인 ",""),"")&amp;IF(AND(ISNUMBER(P10),ISNUMBER(N10),ISNUMBER(O10)),IF(N10&lt;=0,"사전 체중 확인 ",IF(ABS(P10/N10-O10)&gt;0.5,"사전 절대값/체중≠상대값 ","")),"")&amp;IF(AND(ISNUMBER(Y10),ISNUMBER(W10),ISNUMBER(X10)),IF(W10&lt;=0,"사후 체중 확인 ",IF(ABS(Y10/W10-X10)&gt;0.5,"사후 절대값/체중≠상대값 ","")),"")&amp;IF(ISNUMBER(R10),IF(OR(R10&lt;0.85,R10&gt;1.5),"사전 RER 범위 확인 ",""),"")&amp;IF(ISNUMBER(AA10),IF(OR(AA10&lt;0.85,AA10&gt;1.5),"사후 RER 범위 확인 ",""),"")&amp;IF(ISNUMBER(Q10),IF(OR(Q10&lt;150,Q10&gt;225),"사전 최고심박 범위 확인 ",""),"")&amp;IF(ISNUMBER(Z10),IF(OR(Z10&lt;150,Z10&gt;225),"사후 최고심박 범위 확인 ",""),"")&amp;IF(AND(ISNUMBER(U10),ISNUMBER(AI10)),IF(AND(U10=1,AI10&lt;2),"사전 판정충족=1이나 기준 2개 미만 ",""),"")&amp;IF(AND(ISNUMBER(AD10),ISNUMBER(AJ10)),IF(AND(AD10=1,AJ10&lt;2),"사후 판정충족=1이나 기준 2개 미만 ",""),"")&amp;IF(AND(V10&lt;&gt;"",NOT(ISNUMBER(V10))),"사전 검사일 날짜형식 아님 ","")&amp;IF(AND(AE10&lt;&gt;"",NOT(ISNUMBER(AE10))),"사후 검사일 날짜형식 아님 ","")&amp;IF(AND(ISNUMBER(V10),ISNUMBER(AE10)),IF(AE10&lt;=V10,"검사일 역전 ",IF(OR(AE10-V10&lt;77,AE10-V10&gt;126),"사전–사후 간격(11–18주) 확인 ","")),"")&amp;IF(D10=1,IF(OR(NOT(ISNUMBER(O10)),NOT(ISNUMBER(X10))),"분석포함인데 VO2 결측 ",""),"")))</f>
        <v/>
      </c>
    </row>
    <row r="11">
      <c r="A11" s="40" t="n"/>
      <c r="B11" s="41" t="n"/>
      <c r="C11" s="42">
        <f>IF(B11="","",IF(B11=1,"실험군",IF(B11=2,"통제군","코드오류")))</f>
        <v/>
      </c>
      <c r="D11" s="41" t="n"/>
      <c r="E11" s="43" t="n"/>
      <c r="F11" s="43" t="n"/>
      <c r="G11" s="40" t="n"/>
      <c r="H11" s="41" t="n"/>
      <c r="I11" s="41" t="n"/>
      <c r="J11" s="44" t="n"/>
      <c r="K11" s="40" t="n"/>
      <c r="L11" s="44" t="n"/>
      <c r="M11" s="43" t="n"/>
      <c r="N11" s="44" t="n"/>
      <c r="O11" s="45" t="n"/>
      <c r="P11" s="41" t="n"/>
      <c r="Q11" s="41" t="n"/>
      <c r="R11" s="45" t="n"/>
      <c r="S11" s="41" t="n"/>
      <c r="T11" s="41" t="n"/>
      <c r="U11" s="41" t="n"/>
      <c r="V11" s="46" t="n"/>
      <c r="W11" s="44" t="n"/>
      <c r="X11" s="45" t="n"/>
      <c r="Y11" s="41" t="n"/>
      <c r="Z11" s="41" t="n"/>
      <c r="AA11" s="45" t="n"/>
      <c r="AB11" s="41" t="n"/>
      <c r="AC11" s="41" t="n"/>
      <c r="AD11" s="41" t="n"/>
      <c r="AE11" s="46" t="n"/>
      <c r="AF11" s="47">
        <f>IF(AND(ISNUMBER(O11),ISNUMBER(X11)),X11-O11,"")</f>
        <v/>
      </c>
      <c r="AG11" s="48">
        <f>IF(AND(ISNUMBER(O11),ISNUMBER(X11)),IF(O11&lt;&gt;0,(X11-O11)/O11,""),"")</f>
        <v/>
      </c>
      <c r="AH11" s="49">
        <f>IF(AND(ISNUMBER(N11),ISNUMBER(W11)),W11-N11,"")</f>
        <v/>
      </c>
      <c r="AI11" s="50">
        <f>IF(COUNT(R11,Q11,S11,T11)=0,"",IF(ISNUMBER(R11),--(R11&gt;=1.1),0)+IF(AND(ISNUMBER(Q11),ISNUMBER(I11)),--(Q11&gt;=0.95*(220-I11)),0)+IF(ISNUMBER(S11),--(S11&gt;=17),0)+IF(ISNUMBER(T11),--(T11=1),0))</f>
        <v/>
      </c>
      <c r="AJ11" s="50">
        <f>IF(COUNT(AA11,Z11,AB11,AC11)=0,"",IF(ISNUMBER(AA11),--(AA11&gt;=1.1),0)+IF(AND(ISNUMBER(Z11),ISNUMBER(I11)),--(Z11&gt;=0.95*(220-I11)),0)+IF(ISNUMBER(AB11),--(AB11&gt;=17),0)+IF(ISNUMBER(AC11),--(AC11=1),0))</f>
        <v/>
      </c>
      <c r="AK11" s="51">
        <f>IF(A11="","",TRIM(IF(COUNTIF($A$4:$A$33,A11)&gt;1,"ID 중복 ","")&amp;IF(LEN(A11)&lt;&gt;LEN(TRIM(A11)),"ID 앞뒤 공백 ","")&amp;IF(AND(B11&lt;&gt;1,B11&lt;&gt;2),"집단코드 확인 ","")&amp;IF(OR(D11="",AND(D11&lt;&gt;0,D11&lt;&gt;1)),"분석포함 코드 확인(빈칸=제외됨) ","")&amp;IF(AND(ISNUMBER(D11),D11=0,E11=""),"제외 사유 없음 ","")&amp;IF(AND(O11&lt;&gt;"",NOT(ISNUMBER(O11))),"사전VO2 숫자 아님 ","")&amp;IF(AND(X11&lt;&gt;"",NOT(ISNUMBER(X11))),"사후VO2 숫자 아님 ","")&amp;IF(AND(N11&lt;&gt;"",NOT(ISNUMBER(N11))),"사전체중 숫자 아님 ","")&amp;IF(AND(W11&lt;&gt;"",NOT(ISNUMBER(W11))),"사후체중 숫자 아님 ","")&amp;IF(ISNUMBER(O11),IF(OR(O11&lt;25,O11&gt;85),"사전VO2 범위(25–85) 확인 ",""),"")&amp;IF(ISNUMBER(X11),IF(OR(X11&lt;25,X11&gt;85),"사후VO2 범위(25–85) 확인 ",""),"")&amp;IF(AND(ISNUMBER(O11),ISNUMBER(X11)),IF(ABS(X11-O11)&gt;12,"VO2 변화량 12 초과 확인 ",""),"")&amp;IF(AND(ISNUMBER(P11),ISNUMBER(N11),ISNUMBER(O11)),IF(N11&lt;=0,"사전 체중 확인 ",IF(ABS(P11/N11-O11)&gt;0.5,"사전 절대값/체중≠상대값 ","")),"")&amp;IF(AND(ISNUMBER(Y11),ISNUMBER(W11),ISNUMBER(X11)),IF(W11&lt;=0,"사후 체중 확인 ",IF(ABS(Y11/W11-X11)&gt;0.5,"사후 절대값/체중≠상대값 ","")),"")&amp;IF(ISNUMBER(R11),IF(OR(R11&lt;0.85,R11&gt;1.5),"사전 RER 범위 확인 ",""),"")&amp;IF(ISNUMBER(AA11),IF(OR(AA11&lt;0.85,AA11&gt;1.5),"사후 RER 범위 확인 ",""),"")&amp;IF(ISNUMBER(Q11),IF(OR(Q11&lt;150,Q11&gt;225),"사전 최고심박 범위 확인 ",""),"")&amp;IF(ISNUMBER(Z11),IF(OR(Z11&lt;150,Z11&gt;225),"사후 최고심박 범위 확인 ",""),"")&amp;IF(AND(ISNUMBER(U11),ISNUMBER(AI11)),IF(AND(U11=1,AI11&lt;2),"사전 판정충족=1이나 기준 2개 미만 ",""),"")&amp;IF(AND(ISNUMBER(AD11),ISNUMBER(AJ11)),IF(AND(AD11=1,AJ11&lt;2),"사후 판정충족=1이나 기준 2개 미만 ",""),"")&amp;IF(AND(V11&lt;&gt;"",NOT(ISNUMBER(V11))),"사전 검사일 날짜형식 아님 ","")&amp;IF(AND(AE11&lt;&gt;"",NOT(ISNUMBER(AE11))),"사후 검사일 날짜형식 아님 ","")&amp;IF(AND(ISNUMBER(V11),ISNUMBER(AE11)),IF(AE11&lt;=V11,"검사일 역전 ",IF(OR(AE11-V11&lt;77,AE11-V11&gt;126),"사전–사후 간격(11–18주) 확인 ","")),"")&amp;IF(D11=1,IF(OR(NOT(ISNUMBER(O11)),NOT(ISNUMBER(X11))),"분석포함인데 VO2 결측 ",""),"")))</f>
        <v/>
      </c>
    </row>
    <row r="12">
      <c r="A12" s="40" t="n"/>
      <c r="B12" s="41" t="n"/>
      <c r="C12" s="42">
        <f>IF(B12="","",IF(B12=1,"실험군",IF(B12=2,"통제군","코드오류")))</f>
        <v/>
      </c>
      <c r="D12" s="41" t="n"/>
      <c r="E12" s="43" t="n"/>
      <c r="F12" s="43" t="n"/>
      <c r="G12" s="40" t="n"/>
      <c r="H12" s="41" t="n"/>
      <c r="I12" s="41" t="n"/>
      <c r="J12" s="44" t="n"/>
      <c r="K12" s="40" t="n"/>
      <c r="L12" s="44" t="n"/>
      <c r="M12" s="43" t="n"/>
      <c r="N12" s="44" t="n"/>
      <c r="O12" s="45" t="n"/>
      <c r="P12" s="41" t="n"/>
      <c r="Q12" s="41" t="n"/>
      <c r="R12" s="45" t="n"/>
      <c r="S12" s="41" t="n"/>
      <c r="T12" s="41" t="n"/>
      <c r="U12" s="41" t="n"/>
      <c r="V12" s="46" t="n"/>
      <c r="W12" s="44" t="n"/>
      <c r="X12" s="45" t="n"/>
      <c r="Y12" s="41" t="n"/>
      <c r="Z12" s="41" t="n"/>
      <c r="AA12" s="45" t="n"/>
      <c r="AB12" s="41" t="n"/>
      <c r="AC12" s="41" t="n"/>
      <c r="AD12" s="41" t="n"/>
      <c r="AE12" s="46" t="n"/>
      <c r="AF12" s="47">
        <f>IF(AND(ISNUMBER(O12),ISNUMBER(X12)),X12-O12,"")</f>
        <v/>
      </c>
      <c r="AG12" s="48">
        <f>IF(AND(ISNUMBER(O12),ISNUMBER(X12)),IF(O12&lt;&gt;0,(X12-O12)/O12,""),"")</f>
        <v/>
      </c>
      <c r="AH12" s="49">
        <f>IF(AND(ISNUMBER(N12),ISNUMBER(W12)),W12-N12,"")</f>
        <v/>
      </c>
      <c r="AI12" s="50">
        <f>IF(COUNT(R12,Q12,S12,T12)=0,"",IF(ISNUMBER(R12),--(R12&gt;=1.1),0)+IF(AND(ISNUMBER(Q12),ISNUMBER(I12)),--(Q12&gt;=0.95*(220-I12)),0)+IF(ISNUMBER(S12),--(S12&gt;=17),0)+IF(ISNUMBER(T12),--(T12=1),0))</f>
        <v/>
      </c>
      <c r="AJ12" s="50">
        <f>IF(COUNT(AA12,Z12,AB12,AC12)=0,"",IF(ISNUMBER(AA12),--(AA12&gt;=1.1),0)+IF(AND(ISNUMBER(Z12),ISNUMBER(I12)),--(Z12&gt;=0.95*(220-I12)),0)+IF(ISNUMBER(AB12),--(AB12&gt;=17),0)+IF(ISNUMBER(AC12),--(AC12=1),0))</f>
        <v/>
      </c>
      <c r="AK12" s="51">
        <f>IF(A12="","",TRIM(IF(COUNTIF($A$4:$A$33,A12)&gt;1,"ID 중복 ","")&amp;IF(LEN(A12)&lt;&gt;LEN(TRIM(A12)),"ID 앞뒤 공백 ","")&amp;IF(AND(B12&lt;&gt;1,B12&lt;&gt;2),"집단코드 확인 ","")&amp;IF(OR(D12="",AND(D12&lt;&gt;0,D12&lt;&gt;1)),"분석포함 코드 확인(빈칸=제외됨) ","")&amp;IF(AND(ISNUMBER(D12),D12=0,E12=""),"제외 사유 없음 ","")&amp;IF(AND(O12&lt;&gt;"",NOT(ISNUMBER(O12))),"사전VO2 숫자 아님 ","")&amp;IF(AND(X12&lt;&gt;"",NOT(ISNUMBER(X12))),"사후VO2 숫자 아님 ","")&amp;IF(AND(N12&lt;&gt;"",NOT(ISNUMBER(N12))),"사전체중 숫자 아님 ","")&amp;IF(AND(W12&lt;&gt;"",NOT(ISNUMBER(W12))),"사후체중 숫자 아님 ","")&amp;IF(ISNUMBER(O12),IF(OR(O12&lt;25,O12&gt;85),"사전VO2 범위(25–85) 확인 ",""),"")&amp;IF(ISNUMBER(X12),IF(OR(X12&lt;25,X12&gt;85),"사후VO2 범위(25–85) 확인 ",""),"")&amp;IF(AND(ISNUMBER(O12),ISNUMBER(X12)),IF(ABS(X12-O12)&gt;12,"VO2 변화량 12 초과 확인 ",""),"")&amp;IF(AND(ISNUMBER(P12),ISNUMBER(N12),ISNUMBER(O12)),IF(N12&lt;=0,"사전 체중 확인 ",IF(ABS(P12/N12-O12)&gt;0.5,"사전 절대값/체중≠상대값 ","")),"")&amp;IF(AND(ISNUMBER(Y12),ISNUMBER(W12),ISNUMBER(X12)),IF(W12&lt;=0,"사후 체중 확인 ",IF(ABS(Y12/W12-X12)&gt;0.5,"사후 절대값/체중≠상대값 ","")),"")&amp;IF(ISNUMBER(R12),IF(OR(R12&lt;0.85,R12&gt;1.5),"사전 RER 범위 확인 ",""),"")&amp;IF(ISNUMBER(AA12),IF(OR(AA12&lt;0.85,AA12&gt;1.5),"사후 RER 범위 확인 ",""),"")&amp;IF(ISNUMBER(Q12),IF(OR(Q12&lt;150,Q12&gt;225),"사전 최고심박 범위 확인 ",""),"")&amp;IF(ISNUMBER(Z12),IF(OR(Z12&lt;150,Z12&gt;225),"사후 최고심박 범위 확인 ",""),"")&amp;IF(AND(ISNUMBER(U12),ISNUMBER(AI12)),IF(AND(U12=1,AI12&lt;2),"사전 판정충족=1이나 기준 2개 미만 ",""),"")&amp;IF(AND(ISNUMBER(AD12),ISNUMBER(AJ12)),IF(AND(AD12=1,AJ12&lt;2),"사후 판정충족=1이나 기준 2개 미만 ",""),"")&amp;IF(AND(V12&lt;&gt;"",NOT(ISNUMBER(V12))),"사전 검사일 날짜형식 아님 ","")&amp;IF(AND(AE12&lt;&gt;"",NOT(ISNUMBER(AE12))),"사후 검사일 날짜형식 아님 ","")&amp;IF(AND(ISNUMBER(V12),ISNUMBER(AE12)),IF(AE12&lt;=V12,"검사일 역전 ",IF(OR(AE12-V12&lt;77,AE12-V12&gt;126),"사전–사후 간격(11–18주) 확인 ","")),"")&amp;IF(D12=1,IF(OR(NOT(ISNUMBER(O12)),NOT(ISNUMBER(X12))),"분석포함인데 VO2 결측 ",""),"")))</f>
        <v/>
      </c>
    </row>
    <row r="13">
      <c r="A13" s="40" t="n"/>
      <c r="B13" s="41" t="n"/>
      <c r="C13" s="42">
        <f>IF(B13="","",IF(B13=1,"실험군",IF(B13=2,"통제군","코드오류")))</f>
        <v/>
      </c>
      <c r="D13" s="41" t="n"/>
      <c r="E13" s="43" t="n"/>
      <c r="F13" s="43" t="n"/>
      <c r="G13" s="40" t="n"/>
      <c r="H13" s="41" t="n"/>
      <c r="I13" s="41" t="n"/>
      <c r="J13" s="44" t="n"/>
      <c r="K13" s="40" t="n"/>
      <c r="L13" s="44" t="n"/>
      <c r="M13" s="43" t="n"/>
      <c r="N13" s="44" t="n"/>
      <c r="O13" s="45" t="n"/>
      <c r="P13" s="41" t="n"/>
      <c r="Q13" s="41" t="n"/>
      <c r="R13" s="45" t="n"/>
      <c r="S13" s="41" t="n"/>
      <c r="T13" s="41" t="n"/>
      <c r="U13" s="41" t="n"/>
      <c r="V13" s="46" t="n"/>
      <c r="W13" s="44" t="n"/>
      <c r="X13" s="45" t="n"/>
      <c r="Y13" s="41" t="n"/>
      <c r="Z13" s="41" t="n"/>
      <c r="AA13" s="45" t="n"/>
      <c r="AB13" s="41" t="n"/>
      <c r="AC13" s="41" t="n"/>
      <c r="AD13" s="41" t="n"/>
      <c r="AE13" s="46" t="n"/>
      <c r="AF13" s="47">
        <f>IF(AND(ISNUMBER(O13),ISNUMBER(X13)),X13-O13,"")</f>
        <v/>
      </c>
      <c r="AG13" s="48">
        <f>IF(AND(ISNUMBER(O13),ISNUMBER(X13)),IF(O13&lt;&gt;0,(X13-O13)/O13,""),"")</f>
        <v/>
      </c>
      <c r="AH13" s="49">
        <f>IF(AND(ISNUMBER(N13),ISNUMBER(W13)),W13-N13,"")</f>
        <v/>
      </c>
      <c r="AI13" s="50">
        <f>IF(COUNT(R13,Q13,S13,T13)=0,"",IF(ISNUMBER(R13),--(R13&gt;=1.1),0)+IF(AND(ISNUMBER(Q13),ISNUMBER(I13)),--(Q13&gt;=0.95*(220-I13)),0)+IF(ISNUMBER(S13),--(S13&gt;=17),0)+IF(ISNUMBER(T13),--(T13=1),0))</f>
        <v/>
      </c>
      <c r="AJ13" s="50">
        <f>IF(COUNT(AA13,Z13,AB13,AC13)=0,"",IF(ISNUMBER(AA13),--(AA13&gt;=1.1),0)+IF(AND(ISNUMBER(Z13),ISNUMBER(I13)),--(Z13&gt;=0.95*(220-I13)),0)+IF(ISNUMBER(AB13),--(AB13&gt;=17),0)+IF(ISNUMBER(AC13),--(AC13=1),0))</f>
        <v/>
      </c>
      <c r="AK13" s="51">
        <f>IF(A13="","",TRIM(IF(COUNTIF($A$4:$A$33,A13)&gt;1,"ID 중복 ","")&amp;IF(LEN(A13)&lt;&gt;LEN(TRIM(A13)),"ID 앞뒤 공백 ","")&amp;IF(AND(B13&lt;&gt;1,B13&lt;&gt;2),"집단코드 확인 ","")&amp;IF(OR(D13="",AND(D13&lt;&gt;0,D13&lt;&gt;1)),"분석포함 코드 확인(빈칸=제외됨) ","")&amp;IF(AND(ISNUMBER(D13),D13=0,E13=""),"제외 사유 없음 ","")&amp;IF(AND(O13&lt;&gt;"",NOT(ISNUMBER(O13))),"사전VO2 숫자 아님 ","")&amp;IF(AND(X13&lt;&gt;"",NOT(ISNUMBER(X13))),"사후VO2 숫자 아님 ","")&amp;IF(AND(N13&lt;&gt;"",NOT(ISNUMBER(N13))),"사전체중 숫자 아님 ","")&amp;IF(AND(W13&lt;&gt;"",NOT(ISNUMBER(W13))),"사후체중 숫자 아님 ","")&amp;IF(ISNUMBER(O13),IF(OR(O13&lt;25,O13&gt;85),"사전VO2 범위(25–85) 확인 ",""),"")&amp;IF(ISNUMBER(X13),IF(OR(X13&lt;25,X13&gt;85),"사후VO2 범위(25–85) 확인 ",""),"")&amp;IF(AND(ISNUMBER(O13),ISNUMBER(X13)),IF(ABS(X13-O13)&gt;12,"VO2 변화량 12 초과 확인 ",""),"")&amp;IF(AND(ISNUMBER(P13),ISNUMBER(N13),ISNUMBER(O13)),IF(N13&lt;=0,"사전 체중 확인 ",IF(ABS(P13/N13-O13)&gt;0.5,"사전 절대값/체중≠상대값 ","")),"")&amp;IF(AND(ISNUMBER(Y13),ISNUMBER(W13),ISNUMBER(X13)),IF(W13&lt;=0,"사후 체중 확인 ",IF(ABS(Y13/W13-X13)&gt;0.5,"사후 절대값/체중≠상대값 ","")),"")&amp;IF(ISNUMBER(R13),IF(OR(R13&lt;0.85,R13&gt;1.5),"사전 RER 범위 확인 ",""),"")&amp;IF(ISNUMBER(AA13),IF(OR(AA13&lt;0.85,AA13&gt;1.5),"사후 RER 범위 확인 ",""),"")&amp;IF(ISNUMBER(Q13),IF(OR(Q13&lt;150,Q13&gt;225),"사전 최고심박 범위 확인 ",""),"")&amp;IF(ISNUMBER(Z13),IF(OR(Z13&lt;150,Z13&gt;225),"사후 최고심박 범위 확인 ",""),"")&amp;IF(AND(ISNUMBER(U13),ISNUMBER(AI13)),IF(AND(U13=1,AI13&lt;2),"사전 판정충족=1이나 기준 2개 미만 ",""),"")&amp;IF(AND(ISNUMBER(AD13),ISNUMBER(AJ13)),IF(AND(AD13=1,AJ13&lt;2),"사후 판정충족=1이나 기준 2개 미만 ",""),"")&amp;IF(AND(V13&lt;&gt;"",NOT(ISNUMBER(V13))),"사전 검사일 날짜형식 아님 ","")&amp;IF(AND(AE13&lt;&gt;"",NOT(ISNUMBER(AE13))),"사후 검사일 날짜형식 아님 ","")&amp;IF(AND(ISNUMBER(V13),ISNUMBER(AE13)),IF(AE13&lt;=V13,"검사일 역전 ",IF(OR(AE13-V13&lt;77,AE13-V13&gt;126),"사전–사후 간격(11–18주) 확인 ","")),"")&amp;IF(D13=1,IF(OR(NOT(ISNUMBER(O13)),NOT(ISNUMBER(X13))),"분석포함인데 VO2 결측 ",""),"")))</f>
        <v/>
      </c>
    </row>
    <row r="14">
      <c r="A14" s="40" t="n"/>
      <c r="B14" s="41" t="n"/>
      <c r="C14" s="42">
        <f>IF(B14="","",IF(B14=1,"실험군",IF(B14=2,"통제군","코드오류")))</f>
        <v/>
      </c>
      <c r="D14" s="41" t="n"/>
      <c r="E14" s="43" t="n"/>
      <c r="F14" s="43" t="n"/>
      <c r="G14" s="40" t="n"/>
      <c r="H14" s="41" t="n"/>
      <c r="I14" s="41" t="n"/>
      <c r="J14" s="44" t="n"/>
      <c r="K14" s="40" t="n"/>
      <c r="L14" s="44" t="n"/>
      <c r="M14" s="43" t="n"/>
      <c r="N14" s="44" t="n"/>
      <c r="O14" s="45" t="n"/>
      <c r="P14" s="41" t="n"/>
      <c r="Q14" s="41" t="n"/>
      <c r="R14" s="45" t="n"/>
      <c r="S14" s="41" t="n"/>
      <c r="T14" s="41" t="n"/>
      <c r="U14" s="41" t="n"/>
      <c r="V14" s="46" t="n"/>
      <c r="W14" s="44" t="n"/>
      <c r="X14" s="45" t="n"/>
      <c r="Y14" s="41" t="n"/>
      <c r="Z14" s="41" t="n"/>
      <c r="AA14" s="45" t="n"/>
      <c r="AB14" s="41" t="n"/>
      <c r="AC14" s="41" t="n"/>
      <c r="AD14" s="41" t="n"/>
      <c r="AE14" s="46" t="n"/>
      <c r="AF14" s="47">
        <f>IF(AND(ISNUMBER(O14),ISNUMBER(X14)),X14-O14,"")</f>
        <v/>
      </c>
      <c r="AG14" s="48">
        <f>IF(AND(ISNUMBER(O14),ISNUMBER(X14)),IF(O14&lt;&gt;0,(X14-O14)/O14,""),"")</f>
        <v/>
      </c>
      <c r="AH14" s="49">
        <f>IF(AND(ISNUMBER(N14),ISNUMBER(W14)),W14-N14,"")</f>
        <v/>
      </c>
      <c r="AI14" s="50">
        <f>IF(COUNT(R14,Q14,S14,T14)=0,"",IF(ISNUMBER(R14),--(R14&gt;=1.1),0)+IF(AND(ISNUMBER(Q14),ISNUMBER(I14)),--(Q14&gt;=0.95*(220-I14)),0)+IF(ISNUMBER(S14),--(S14&gt;=17),0)+IF(ISNUMBER(T14),--(T14=1),0))</f>
        <v/>
      </c>
      <c r="AJ14" s="50">
        <f>IF(COUNT(AA14,Z14,AB14,AC14)=0,"",IF(ISNUMBER(AA14),--(AA14&gt;=1.1),0)+IF(AND(ISNUMBER(Z14),ISNUMBER(I14)),--(Z14&gt;=0.95*(220-I14)),0)+IF(ISNUMBER(AB14),--(AB14&gt;=17),0)+IF(ISNUMBER(AC14),--(AC14=1),0))</f>
        <v/>
      </c>
      <c r="AK14" s="51">
        <f>IF(A14="","",TRIM(IF(COUNTIF($A$4:$A$33,A14)&gt;1,"ID 중복 ","")&amp;IF(LEN(A14)&lt;&gt;LEN(TRIM(A14)),"ID 앞뒤 공백 ","")&amp;IF(AND(B14&lt;&gt;1,B14&lt;&gt;2),"집단코드 확인 ","")&amp;IF(OR(D14="",AND(D14&lt;&gt;0,D14&lt;&gt;1)),"분석포함 코드 확인(빈칸=제외됨) ","")&amp;IF(AND(ISNUMBER(D14),D14=0,E14=""),"제외 사유 없음 ","")&amp;IF(AND(O14&lt;&gt;"",NOT(ISNUMBER(O14))),"사전VO2 숫자 아님 ","")&amp;IF(AND(X14&lt;&gt;"",NOT(ISNUMBER(X14))),"사후VO2 숫자 아님 ","")&amp;IF(AND(N14&lt;&gt;"",NOT(ISNUMBER(N14))),"사전체중 숫자 아님 ","")&amp;IF(AND(W14&lt;&gt;"",NOT(ISNUMBER(W14))),"사후체중 숫자 아님 ","")&amp;IF(ISNUMBER(O14),IF(OR(O14&lt;25,O14&gt;85),"사전VO2 범위(25–85) 확인 ",""),"")&amp;IF(ISNUMBER(X14),IF(OR(X14&lt;25,X14&gt;85),"사후VO2 범위(25–85) 확인 ",""),"")&amp;IF(AND(ISNUMBER(O14),ISNUMBER(X14)),IF(ABS(X14-O14)&gt;12,"VO2 변화량 12 초과 확인 ",""),"")&amp;IF(AND(ISNUMBER(P14),ISNUMBER(N14),ISNUMBER(O14)),IF(N14&lt;=0,"사전 체중 확인 ",IF(ABS(P14/N14-O14)&gt;0.5,"사전 절대값/체중≠상대값 ","")),"")&amp;IF(AND(ISNUMBER(Y14),ISNUMBER(W14),ISNUMBER(X14)),IF(W14&lt;=0,"사후 체중 확인 ",IF(ABS(Y14/W14-X14)&gt;0.5,"사후 절대값/체중≠상대값 ","")),"")&amp;IF(ISNUMBER(R14),IF(OR(R14&lt;0.85,R14&gt;1.5),"사전 RER 범위 확인 ",""),"")&amp;IF(ISNUMBER(AA14),IF(OR(AA14&lt;0.85,AA14&gt;1.5),"사후 RER 범위 확인 ",""),"")&amp;IF(ISNUMBER(Q14),IF(OR(Q14&lt;150,Q14&gt;225),"사전 최고심박 범위 확인 ",""),"")&amp;IF(ISNUMBER(Z14),IF(OR(Z14&lt;150,Z14&gt;225),"사후 최고심박 범위 확인 ",""),"")&amp;IF(AND(ISNUMBER(U14),ISNUMBER(AI14)),IF(AND(U14=1,AI14&lt;2),"사전 판정충족=1이나 기준 2개 미만 ",""),"")&amp;IF(AND(ISNUMBER(AD14),ISNUMBER(AJ14)),IF(AND(AD14=1,AJ14&lt;2),"사후 판정충족=1이나 기준 2개 미만 ",""),"")&amp;IF(AND(V14&lt;&gt;"",NOT(ISNUMBER(V14))),"사전 검사일 날짜형식 아님 ","")&amp;IF(AND(AE14&lt;&gt;"",NOT(ISNUMBER(AE14))),"사후 검사일 날짜형식 아님 ","")&amp;IF(AND(ISNUMBER(V14),ISNUMBER(AE14)),IF(AE14&lt;=V14,"검사일 역전 ",IF(OR(AE14-V14&lt;77,AE14-V14&gt;126),"사전–사후 간격(11–18주) 확인 ","")),"")&amp;IF(D14=1,IF(OR(NOT(ISNUMBER(O14)),NOT(ISNUMBER(X14))),"분석포함인데 VO2 결측 ",""),"")))</f>
        <v/>
      </c>
    </row>
    <row r="15">
      <c r="A15" s="40" t="n"/>
      <c r="B15" s="41" t="n"/>
      <c r="C15" s="42">
        <f>IF(B15="","",IF(B15=1,"실험군",IF(B15=2,"통제군","코드오류")))</f>
        <v/>
      </c>
      <c r="D15" s="41" t="n"/>
      <c r="E15" s="43" t="n"/>
      <c r="F15" s="43" t="n"/>
      <c r="G15" s="40" t="n"/>
      <c r="H15" s="41" t="n"/>
      <c r="I15" s="41" t="n"/>
      <c r="J15" s="44" t="n"/>
      <c r="K15" s="40" t="n"/>
      <c r="L15" s="44" t="n"/>
      <c r="M15" s="43" t="n"/>
      <c r="N15" s="44" t="n"/>
      <c r="O15" s="45" t="n"/>
      <c r="P15" s="41" t="n"/>
      <c r="Q15" s="41" t="n"/>
      <c r="R15" s="45" t="n"/>
      <c r="S15" s="41" t="n"/>
      <c r="T15" s="41" t="n"/>
      <c r="U15" s="41" t="n"/>
      <c r="V15" s="46" t="n"/>
      <c r="W15" s="44" t="n"/>
      <c r="X15" s="45" t="n"/>
      <c r="Y15" s="41" t="n"/>
      <c r="Z15" s="41" t="n"/>
      <c r="AA15" s="45" t="n"/>
      <c r="AB15" s="41" t="n"/>
      <c r="AC15" s="41" t="n"/>
      <c r="AD15" s="41" t="n"/>
      <c r="AE15" s="46" t="n"/>
      <c r="AF15" s="47">
        <f>IF(AND(ISNUMBER(O15),ISNUMBER(X15)),X15-O15,"")</f>
        <v/>
      </c>
      <c r="AG15" s="48">
        <f>IF(AND(ISNUMBER(O15),ISNUMBER(X15)),IF(O15&lt;&gt;0,(X15-O15)/O15,""),"")</f>
        <v/>
      </c>
      <c r="AH15" s="49">
        <f>IF(AND(ISNUMBER(N15),ISNUMBER(W15)),W15-N15,"")</f>
        <v/>
      </c>
      <c r="AI15" s="50">
        <f>IF(COUNT(R15,Q15,S15,T15)=0,"",IF(ISNUMBER(R15),--(R15&gt;=1.1),0)+IF(AND(ISNUMBER(Q15),ISNUMBER(I15)),--(Q15&gt;=0.95*(220-I15)),0)+IF(ISNUMBER(S15),--(S15&gt;=17),0)+IF(ISNUMBER(T15),--(T15=1),0))</f>
        <v/>
      </c>
      <c r="AJ15" s="50">
        <f>IF(COUNT(AA15,Z15,AB15,AC15)=0,"",IF(ISNUMBER(AA15),--(AA15&gt;=1.1),0)+IF(AND(ISNUMBER(Z15),ISNUMBER(I15)),--(Z15&gt;=0.95*(220-I15)),0)+IF(ISNUMBER(AB15),--(AB15&gt;=17),0)+IF(ISNUMBER(AC15),--(AC15=1),0))</f>
        <v/>
      </c>
      <c r="AK15" s="51">
        <f>IF(A15="","",TRIM(IF(COUNTIF($A$4:$A$33,A15)&gt;1,"ID 중복 ","")&amp;IF(LEN(A15)&lt;&gt;LEN(TRIM(A15)),"ID 앞뒤 공백 ","")&amp;IF(AND(B15&lt;&gt;1,B15&lt;&gt;2),"집단코드 확인 ","")&amp;IF(OR(D15="",AND(D15&lt;&gt;0,D15&lt;&gt;1)),"분석포함 코드 확인(빈칸=제외됨) ","")&amp;IF(AND(ISNUMBER(D15),D15=0,E15=""),"제외 사유 없음 ","")&amp;IF(AND(O15&lt;&gt;"",NOT(ISNUMBER(O15))),"사전VO2 숫자 아님 ","")&amp;IF(AND(X15&lt;&gt;"",NOT(ISNUMBER(X15))),"사후VO2 숫자 아님 ","")&amp;IF(AND(N15&lt;&gt;"",NOT(ISNUMBER(N15))),"사전체중 숫자 아님 ","")&amp;IF(AND(W15&lt;&gt;"",NOT(ISNUMBER(W15))),"사후체중 숫자 아님 ","")&amp;IF(ISNUMBER(O15),IF(OR(O15&lt;25,O15&gt;85),"사전VO2 범위(25–85) 확인 ",""),"")&amp;IF(ISNUMBER(X15),IF(OR(X15&lt;25,X15&gt;85),"사후VO2 범위(25–85) 확인 ",""),"")&amp;IF(AND(ISNUMBER(O15),ISNUMBER(X15)),IF(ABS(X15-O15)&gt;12,"VO2 변화량 12 초과 확인 ",""),"")&amp;IF(AND(ISNUMBER(P15),ISNUMBER(N15),ISNUMBER(O15)),IF(N15&lt;=0,"사전 체중 확인 ",IF(ABS(P15/N15-O15)&gt;0.5,"사전 절대값/체중≠상대값 ","")),"")&amp;IF(AND(ISNUMBER(Y15),ISNUMBER(W15),ISNUMBER(X15)),IF(W15&lt;=0,"사후 체중 확인 ",IF(ABS(Y15/W15-X15)&gt;0.5,"사후 절대값/체중≠상대값 ","")),"")&amp;IF(ISNUMBER(R15),IF(OR(R15&lt;0.85,R15&gt;1.5),"사전 RER 범위 확인 ",""),"")&amp;IF(ISNUMBER(AA15),IF(OR(AA15&lt;0.85,AA15&gt;1.5),"사후 RER 범위 확인 ",""),"")&amp;IF(ISNUMBER(Q15),IF(OR(Q15&lt;150,Q15&gt;225),"사전 최고심박 범위 확인 ",""),"")&amp;IF(ISNUMBER(Z15),IF(OR(Z15&lt;150,Z15&gt;225),"사후 최고심박 범위 확인 ",""),"")&amp;IF(AND(ISNUMBER(U15),ISNUMBER(AI15)),IF(AND(U15=1,AI15&lt;2),"사전 판정충족=1이나 기준 2개 미만 ",""),"")&amp;IF(AND(ISNUMBER(AD15),ISNUMBER(AJ15)),IF(AND(AD15=1,AJ15&lt;2),"사후 판정충족=1이나 기준 2개 미만 ",""),"")&amp;IF(AND(V15&lt;&gt;"",NOT(ISNUMBER(V15))),"사전 검사일 날짜형식 아님 ","")&amp;IF(AND(AE15&lt;&gt;"",NOT(ISNUMBER(AE15))),"사후 검사일 날짜형식 아님 ","")&amp;IF(AND(ISNUMBER(V15),ISNUMBER(AE15)),IF(AE15&lt;=V15,"검사일 역전 ",IF(OR(AE15-V15&lt;77,AE15-V15&gt;126),"사전–사후 간격(11–18주) 확인 ","")),"")&amp;IF(D15=1,IF(OR(NOT(ISNUMBER(O15)),NOT(ISNUMBER(X15))),"분석포함인데 VO2 결측 ",""),"")))</f>
        <v/>
      </c>
    </row>
    <row r="16">
      <c r="A16" s="40" t="n"/>
      <c r="B16" s="41" t="n"/>
      <c r="C16" s="42">
        <f>IF(B16="","",IF(B16=1,"실험군",IF(B16=2,"통제군","코드오류")))</f>
        <v/>
      </c>
      <c r="D16" s="41" t="n"/>
      <c r="E16" s="43" t="n"/>
      <c r="F16" s="43" t="n"/>
      <c r="G16" s="40" t="n"/>
      <c r="H16" s="41" t="n"/>
      <c r="I16" s="41" t="n"/>
      <c r="J16" s="44" t="n"/>
      <c r="K16" s="40" t="n"/>
      <c r="L16" s="44" t="n"/>
      <c r="M16" s="43" t="n"/>
      <c r="N16" s="44" t="n"/>
      <c r="O16" s="45" t="n"/>
      <c r="P16" s="41" t="n"/>
      <c r="Q16" s="41" t="n"/>
      <c r="R16" s="45" t="n"/>
      <c r="S16" s="41" t="n"/>
      <c r="T16" s="41" t="n"/>
      <c r="U16" s="41" t="n"/>
      <c r="V16" s="46" t="n"/>
      <c r="W16" s="44" t="n"/>
      <c r="X16" s="45" t="n"/>
      <c r="Y16" s="41" t="n"/>
      <c r="Z16" s="41" t="n"/>
      <c r="AA16" s="45" t="n"/>
      <c r="AB16" s="41" t="n"/>
      <c r="AC16" s="41" t="n"/>
      <c r="AD16" s="41" t="n"/>
      <c r="AE16" s="46" t="n"/>
      <c r="AF16" s="47">
        <f>IF(AND(ISNUMBER(O16),ISNUMBER(X16)),X16-O16,"")</f>
        <v/>
      </c>
      <c r="AG16" s="48">
        <f>IF(AND(ISNUMBER(O16),ISNUMBER(X16)),IF(O16&lt;&gt;0,(X16-O16)/O16,""),"")</f>
        <v/>
      </c>
      <c r="AH16" s="49">
        <f>IF(AND(ISNUMBER(N16),ISNUMBER(W16)),W16-N16,"")</f>
        <v/>
      </c>
      <c r="AI16" s="50">
        <f>IF(COUNT(R16,Q16,S16,T16)=0,"",IF(ISNUMBER(R16),--(R16&gt;=1.1),0)+IF(AND(ISNUMBER(Q16),ISNUMBER(I16)),--(Q16&gt;=0.95*(220-I16)),0)+IF(ISNUMBER(S16),--(S16&gt;=17),0)+IF(ISNUMBER(T16),--(T16=1),0))</f>
        <v/>
      </c>
      <c r="AJ16" s="50">
        <f>IF(COUNT(AA16,Z16,AB16,AC16)=0,"",IF(ISNUMBER(AA16),--(AA16&gt;=1.1),0)+IF(AND(ISNUMBER(Z16),ISNUMBER(I16)),--(Z16&gt;=0.95*(220-I16)),0)+IF(ISNUMBER(AB16),--(AB16&gt;=17),0)+IF(ISNUMBER(AC16),--(AC16=1),0))</f>
        <v/>
      </c>
      <c r="AK16" s="51">
        <f>IF(A16="","",TRIM(IF(COUNTIF($A$4:$A$33,A16)&gt;1,"ID 중복 ","")&amp;IF(LEN(A16)&lt;&gt;LEN(TRIM(A16)),"ID 앞뒤 공백 ","")&amp;IF(AND(B16&lt;&gt;1,B16&lt;&gt;2),"집단코드 확인 ","")&amp;IF(OR(D16="",AND(D16&lt;&gt;0,D16&lt;&gt;1)),"분석포함 코드 확인(빈칸=제외됨) ","")&amp;IF(AND(ISNUMBER(D16),D16=0,E16=""),"제외 사유 없음 ","")&amp;IF(AND(O16&lt;&gt;"",NOT(ISNUMBER(O16))),"사전VO2 숫자 아님 ","")&amp;IF(AND(X16&lt;&gt;"",NOT(ISNUMBER(X16))),"사후VO2 숫자 아님 ","")&amp;IF(AND(N16&lt;&gt;"",NOT(ISNUMBER(N16))),"사전체중 숫자 아님 ","")&amp;IF(AND(W16&lt;&gt;"",NOT(ISNUMBER(W16))),"사후체중 숫자 아님 ","")&amp;IF(ISNUMBER(O16),IF(OR(O16&lt;25,O16&gt;85),"사전VO2 범위(25–85) 확인 ",""),"")&amp;IF(ISNUMBER(X16),IF(OR(X16&lt;25,X16&gt;85),"사후VO2 범위(25–85) 확인 ",""),"")&amp;IF(AND(ISNUMBER(O16),ISNUMBER(X16)),IF(ABS(X16-O16)&gt;12,"VO2 변화량 12 초과 확인 ",""),"")&amp;IF(AND(ISNUMBER(P16),ISNUMBER(N16),ISNUMBER(O16)),IF(N16&lt;=0,"사전 체중 확인 ",IF(ABS(P16/N16-O16)&gt;0.5,"사전 절대값/체중≠상대값 ","")),"")&amp;IF(AND(ISNUMBER(Y16),ISNUMBER(W16),ISNUMBER(X16)),IF(W16&lt;=0,"사후 체중 확인 ",IF(ABS(Y16/W16-X16)&gt;0.5,"사후 절대값/체중≠상대값 ","")),"")&amp;IF(ISNUMBER(R16),IF(OR(R16&lt;0.85,R16&gt;1.5),"사전 RER 범위 확인 ",""),"")&amp;IF(ISNUMBER(AA16),IF(OR(AA16&lt;0.85,AA16&gt;1.5),"사후 RER 범위 확인 ",""),"")&amp;IF(ISNUMBER(Q16),IF(OR(Q16&lt;150,Q16&gt;225),"사전 최고심박 범위 확인 ",""),"")&amp;IF(ISNUMBER(Z16),IF(OR(Z16&lt;150,Z16&gt;225),"사후 최고심박 범위 확인 ",""),"")&amp;IF(AND(ISNUMBER(U16),ISNUMBER(AI16)),IF(AND(U16=1,AI16&lt;2),"사전 판정충족=1이나 기준 2개 미만 ",""),"")&amp;IF(AND(ISNUMBER(AD16),ISNUMBER(AJ16)),IF(AND(AD16=1,AJ16&lt;2),"사후 판정충족=1이나 기준 2개 미만 ",""),"")&amp;IF(AND(V16&lt;&gt;"",NOT(ISNUMBER(V16))),"사전 검사일 날짜형식 아님 ","")&amp;IF(AND(AE16&lt;&gt;"",NOT(ISNUMBER(AE16))),"사후 검사일 날짜형식 아님 ","")&amp;IF(AND(ISNUMBER(V16),ISNUMBER(AE16)),IF(AE16&lt;=V16,"검사일 역전 ",IF(OR(AE16-V16&lt;77,AE16-V16&gt;126),"사전–사후 간격(11–18주) 확인 ","")),"")&amp;IF(D16=1,IF(OR(NOT(ISNUMBER(O16)),NOT(ISNUMBER(X16))),"분석포함인데 VO2 결측 ",""),"")))</f>
        <v/>
      </c>
    </row>
    <row r="17">
      <c r="A17" s="40" t="n"/>
      <c r="B17" s="41" t="n"/>
      <c r="C17" s="42">
        <f>IF(B17="","",IF(B17=1,"실험군",IF(B17=2,"통제군","코드오류")))</f>
        <v/>
      </c>
      <c r="D17" s="41" t="n"/>
      <c r="E17" s="43" t="n"/>
      <c r="F17" s="43" t="n"/>
      <c r="G17" s="40" t="n"/>
      <c r="H17" s="41" t="n"/>
      <c r="I17" s="41" t="n"/>
      <c r="J17" s="44" t="n"/>
      <c r="K17" s="40" t="n"/>
      <c r="L17" s="44" t="n"/>
      <c r="M17" s="43" t="n"/>
      <c r="N17" s="44" t="n"/>
      <c r="O17" s="45" t="n"/>
      <c r="P17" s="41" t="n"/>
      <c r="Q17" s="41" t="n"/>
      <c r="R17" s="45" t="n"/>
      <c r="S17" s="41" t="n"/>
      <c r="T17" s="41" t="n"/>
      <c r="U17" s="41" t="n"/>
      <c r="V17" s="46" t="n"/>
      <c r="W17" s="44" t="n"/>
      <c r="X17" s="45" t="n"/>
      <c r="Y17" s="41" t="n"/>
      <c r="Z17" s="41" t="n"/>
      <c r="AA17" s="45" t="n"/>
      <c r="AB17" s="41" t="n"/>
      <c r="AC17" s="41" t="n"/>
      <c r="AD17" s="41" t="n"/>
      <c r="AE17" s="46" t="n"/>
      <c r="AF17" s="47">
        <f>IF(AND(ISNUMBER(O17),ISNUMBER(X17)),X17-O17,"")</f>
        <v/>
      </c>
      <c r="AG17" s="48">
        <f>IF(AND(ISNUMBER(O17),ISNUMBER(X17)),IF(O17&lt;&gt;0,(X17-O17)/O17,""),"")</f>
        <v/>
      </c>
      <c r="AH17" s="49">
        <f>IF(AND(ISNUMBER(N17),ISNUMBER(W17)),W17-N17,"")</f>
        <v/>
      </c>
      <c r="AI17" s="50">
        <f>IF(COUNT(R17,Q17,S17,T17)=0,"",IF(ISNUMBER(R17),--(R17&gt;=1.1),0)+IF(AND(ISNUMBER(Q17),ISNUMBER(I17)),--(Q17&gt;=0.95*(220-I17)),0)+IF(ISNUMBER(S17),--(S17&gt;=17),0)+IF(ISNUMBER(T17),--(T17=1),0))</f>
        <v/>
      </c>
      <c r="AJ17" s="50">
        <f>IF(COUNT(AA17,Z17,AB17,AC17)=0,"",IF(ISNUMBER(AA17),--(AA17&gt;=1.1),0)+IF(AND(ISNUMBER(Z17),ISNUMBER(I17)),--(Z17&gt;=0.95*(220-I17)),0)+IF(ISNUMBER(AB17),--(AB17&gt;=17),0)+IF(ISNUMBER(AC17),--(AC17=1),0))</f>
        <v/>
      </c>
      <c r="AK17" s="51">
        <f>IF(A17="","",TRIM(IF(COUNTIF($A$4:$A$33,A17)&gt;1,"ID 중복 ","")&amp;IF(LEN(A17)&lt;&gt;LEN(TRIM(A17)),"ID 앞뒤 공백 ","")&amp;IF(AND(B17&lt;&gt;1,B17&lt;&gt;2),"집단코드 확인 ","")&amp;IF(OR(D17="",AND(D17&lt;&gt;0,D17&lt;&gt;1)),"분석포함 코드 확인(빈칸=제외됨) ","")&amp;IF(AND(ISNUMBER(D17),D17=0,E17=""),"제외 사유 없음 ","")&amp;IF(AND(O17&lt;&gt;"",NOT(ISNUMBER(O17))),"사전VO2 숫자 아님 ","")&amp;IF(AND(X17&lt;&gt;"",NOT(ISNUMBER(X17))),"사후VO2 숫자 아님 ","")&amp;IF(AND(N17&lt;&gt;"",NOT(ISNUMBER(N17))),"사전체중 숫자 아님 ","")&amp;IF(AND(W17&lt;&gt;"",NOT(ISNUMBER(W17))),"사후체중 숫자 아님 ","")&amp;IF(ISNUMBER(O17),IF(OR(O17&lt;25,O17&gt;85),"사전VO2 범위(25–85) 확인 ",""),"")&amp;IF(ISNUMBER(X17),IF(OR(X17&lt;25,X17&gt;85),"사후VO2 범위(25–85) 확인 ",""),"")&amp;IF(AND(ISNUMBER(O17),ISNUMBER(X17)),IF(ABS(X17-O17)&gt;12,"VO2 변화량 12 초과 확인 ",""),"")&amp;IF(AND(ISNUMBER(P17),ISNUMBER(N17),ISNUMBER(O17)),IF(N17&lt;=0,"사전 체중 확인 ",IF(ABS(P17/N17-O17)&gt;0.5,"사전 절대값/체중≠상대값 ","")),"")&amp;IF(AND(ISNUMBER(Y17),ISNUMBER(W17),ISNUMBER(X17)),IF(W17&lt;=0,"사후 체중 확인 ",IF(ABS(Y17/W17-X17)&gt;0.5,"사후 절대값/체중≠상대값 ","")),"")&amp;IF(ISNUMBER(R17),IF(OR(R17&lt;0.85,R17&gt;1.5),"사전 RER 범위 확인 ",""),"")&amp;IF(ISNUMBER(AA17),IF(OR(AA17&lt;0.85,AA17&gt;1.5),"사후 RER 범위 확인 ",""),"")&amp;IF(ISNUMBER(Q17),IF(OR(Q17&lt;150,Q17&gt;225),"사전 최고심박 범위 확인 ",""),"")&amp;IF(ISNUMBER(Z17),IF(OR(Z17&lt;150,Z17&gt;225),"사후 최고심박 범위 확인 ",""),"")&amp;IF(AND(ISNUMBER(U17),ISNUMBER(AI17)),IF(AND(U17=1,AI17&lt;2),"사전 판정충족=1이나 기준 2개 미만 ",""),"")&amp;IF(AND(ISNUMBER(AD17),ISNUMBER(AJ17)),IF(AND(AD17=1,AJ17&lt;2),"사후 판정충족=1이나 기준 2개 미만 ",""),"")&amp;IF(AND(V17&lt;&gt;"",NOT(ISNUMBER(V17))),"사전 검사일 날짜형식 아님 ","")&amp;IF(AND(AE17&lt;&gt;"",NOT(ISNUMBER(AE17))),"사후 검사일 날짜형식 아님 ","")&amp;IF(AND(ISNUMBER(V17),ISNUMBER(AE17)),IF(AE17&lt;=V17,"검사일 역전 ",IF(OR(AE17-V17&lt;77,AE17-V17&gt;126),"사전–사후 간격(11–18주) 확인 ","")),"")&amp;IF(D17=1,IF(OR(NOT(ISNUMBER(O17)),NOT(ISNUMBER(X17))),"분석포함인데 VO2 결측 ",""),"")))</f>
        <v/>
      </c>
    </row>
    <row r="18">
      <c r="A18" s="40" t="n"/>
      <c r="B18" s="41" t="n"/>
      <c r="C18" s="42">
        <f>IF(B18="","",IF(B18=1,"실험군",IF(B18=2,"통제군","코드오류")))</f>
        <v/>
      </c>
      <c r="D18" s="41" t="n"/>
      <c r="E18" s="43" t="n"/>
      <c r="F18" s="43" t="n"/>
      <c r="G18" s="40" t="n"/>
      <c r="H18" s="41" t="n"/>
      <c r="I18" s="41" t="n"/>
      <c r="J18" s="44" t="n"/>
      <c r="K18" s="40" t="n"/>
      <c r="L18" s="44" t="n"/>
      <c r="M18" s="43" t="n"/>
      <c r="N18" s="44" t="n"/>
      <c r="O18" s="45" t="n"/>
      <c r="P18" s="41" t="n"/>
      <c r="Q18" s="41" t="n"/>
      <c r="R18" s="45" t="n"/>
      <c r="S18" s="41" t="n"/>
      <c r="T18" s="41" t="n"/>
      <c r="U18" s="41" t="n"/>
      <c r="V18" s="46" t="n"/>
      <c r="W18" s="44" t="n"/>
      <c r="X18" s="45" t="n"/>
      <c r="Y18" s="41" t="n"/>
      <c r="Z18" s="41" t="n"/>
      <c r="AA18" s="45" t="n"/>
      <c r="AB18" s="41" t="n"/>
      <c r="AC18" s="41" t="n"/>
      <c r="AD18" s="41" t="n"/>
      <c r="AE18" s="46" t="n"/>
      <c r="AF18" s="47">
        <f>IF(AND(ISNUMBER(O18),ISNUMBER(X18)),X18-O18,"")</f>
        <v/>
      </c>
      <c r="AG18" s="48">
        <f>IF(AND(ISNUMBER(O18),ISNUMBER(X18)),IF(O18&lt;&gt;0,(X18-O18)/O18,""),"")</f>
        <v/>
      </c>
      <c r="AH18" s="49">
        <f>IF(AND(ISNUMBER(N18),ISNUMBER(W18)),W18-N18,"")</f>
        <v/>
      </c>
      <c r="AI18" s="50">
        <f>IF(COUNT(R18,Q18,S18,T18)=0,"",IF(ISNUMBER(R18),--(R18&gt;=1.1),0)+IF(AND(ISNUMBER(Q18),ISNUMBER(I18)),--(Q18&gt;=0.95*(220-I18)),0)+IF(ISNUMBER(S18),--(S18&gt;=17),0)+IF(ISNUMBER(T18),--(T18=1),0))</f>
        <v/>
      </c>
      <c r="AJ18" s="50">
        <f>IF(COUNT(AA18,Z18,AB18,AC18)=0,"",IF(ISNUMBER(AA18),--(AA18&gt;=1.1),0)+IF(AND(ISNUMBER(Z18),ISNUMBER(I18)),--(Z18&gt;=0.95*(220-I18)),0)+IF(ISNUMBER(AB18),--(AB18&gt;=17),0)+IF(ISNUMBER(AC18),--(AC18=1),0))</f>
        <v/>
      </c>
      <c r="AK18" s="51">
        <f>IF(A18="","",TRIM(IF(COUNTIF($A$4:$A$33,A18)&gt;1,"ID 중복 ","")&amp;IF(LEN(A18)&lt;&gt;LEN(TRIM(A18)),"ID 앞뒤 공백 ","")&amp;IF(AND(B18&lt;&gt;1,B18&lt;&gt;2),"집단코드 확인 ","")&amp;IF(OR(D18="",AND(D18&lt;&gt;0,D18&lt;&gt;1)),"분석포함 코드 확인(빈칸=제외됨) ","")&amp;IF(AND(ISNUMBER(D18),D18=0,E18=""),"제외 사유 없음 ","")&amp;IF(AND(O18&lt;&gt;"",NOT(ISNUMBER(O18))),"사전VO2 숫자 아님 ","")&amp;IF(AND(X18&lt;&gt;"",NOT(ISNUMBER(X18))),"사후VO2 숫자 아님 ","")&amp;IF(AND(N18&lt;&gt;"",NOT(ISNUMBER(N18))),"사전체중 숫자 아님 ","")&amp;IF(AND(W18&lt;&gt;"",NOT(ISNUMBER(W18))),"사후체중 숫자 아님 ","")&amp;IF(ISNUMBER(O18),IF(OR(O18&lt;25,O18&gt;85),"사전VO2 범위(25–85) 확인 ",""),"")&amp;IF(ISNUMBER(X18),IF(OR(X18&lt;25,X18&gt;85),"사후VO2 범위(25–85) 확인 ",""),"")&amp;IF(AND(ISNUMBER(O18),ISNUMBER(X18)),IF(ABS(X18-O18)&gt;12,"VO2 변화량 12 초과 확인 ",""),"")&amp;IF(AND(ISNUMBER(P18),ISNUMBER(N18),ISNUMBER(O18)),IF(N18&lt;=0,"사전 체중 확인 ",IF(ABS(P18/N18-O18)&gt;0.5,"사전 절대값/체중≠상대값 ","")),"")&amp;IF(AND(ISNUMBER(Y18),ISNUMBER(W18),ISNUMBER(X18)),IF(W18&lt;=0,"사후 체중 확인 ",IF(ABS(Y18/W18-X18)&gt;0.5,"사후 절대값/체중≠상대값 ","")),"")&amp;IF(ISNUMBER(R18),IF(OR(R18&lt;0.85,R18&gt;1.5),"사전 RER 범위 확인 ",""),"")&amp;IF(ISNUMBER(AA18),IF(OR(AA18&lt;0.85,AA18&gt;1.5),"사후 RER 범위 확인 ",""),"")&amp;IF(ISNUMBER(Q18),IF(OR(Q18&lt;150,Q18&gt;225),"사전 최고심박 범위 확인 ",""),"")&amp;IF(ISNUMBER(Z18),IF(OR(Z18&lt;150,Z18&gt;225),"사후 최고심박 범위 확인 ",""),"")&amp;IF(AND(ISNUMBER(U18),ISNUMBER(AI18)),IF(AND(U18=1,AI18&lt;2),"사전 판정충족=1이나 기준 2개 미만 ",""),"")&amp;IF(AND(ISNUMBER(AD18),ISNUMBER(AJ18)),IF(AND(AD18=1,AJ18&lt;2),"사후 판정충족=1이나 기준 2개 미만 ",""),"")&amp;IF(AND(V18&lt;&gt;"",NOT(ISNUMBER(V18))),"사전 검사일 날짜형식 아님 ","")&amp;IF(AND(AE18&lt;&gt;"",NOT(ISNUMBER(AE18))),"사후 검사일 날짜형식 아님 ","")&amp;IF(AND(ISNUMBER(V18),ISNUMBER(AE18)),IF(AE18&lt;=V18,"검사일 역전 ",IF(OR(AE18-V18&lt;77,AE18-V18&gt;126),"사전–사후 간격(11–18주) 확인 ","")),"")&amp;IF(D18=1,IF(OR(NOT(ISNUMBER(O18)),NOT(ISNUMBER(X18))),"분석포함인데 VO2 결측 ",""),"")))</f>
        <v/>
      </c>
    </row>
    <row r="19">
      <c r="A19" s="40" t="n"/>
      <c r="B19" s="41" t="n"/>
      <c r="C19" s="42">
        <f>IF(B19="","",IF(B19=1,"실험군",IF(B19=2,"통제군","코드오류")))</f>
        <v/>
      </c>
      <c r="D19" s="41" t="n"/>
      <c r="E19" s="43" t="n"/>
      <c r="F19" s="43" t="n"/>
      <c r="G19" s="40" t="n"/>
      <c r="H19" s="41" t="n"/>
      <c r="I19" s="41" t="n"/>
      <c r="J19" s="44" t="n"/>
      <c r="K19" s="40" t="n"/>
      <c r="L19" s="44" t="n"/>
      <c r="M19" s="43" t="n"/>
      <c r="N19" s="44" t="n"/>
      <c r="O19" s="45" t="n"/>
      <c r="P19" s="41" t="n"/>
      <c r="Q19" s="41" t="n"/>
      <c r="R19" s="45" t="n"/>
      <c r="S19" s="41" t="n"/>
      <c r="T19" s="41" t="n"/>
      <c r="U19" s="41" t="n"/>
      <c r="V19" s="46" t="n"/>
      <c r="W19" s="44" t="n"/>
      <c r="X19" s="45" t="n"/>
      <c r="Y19" s="41" t="n"/>
      <c r="Z19" s="41" t="n"/>
      <c r="AA19" s="45" t="n"/>
      <c r="AB19" s="41" t="n"/>
      <c r="AC19" s="41" t="n"/>
      <c r="AD19" s="41" t="n"/>
      <c r="AE19" s="46" t="n"/>
      <c r="AF19" s="47">
        <f>IF(AND(ISNUMBER(O19),ISNUMBER(X19)),X19-O19,"")</f>
        <v/>
      </c>
      <c r="AG19" s="48">
        <f>IF(AND(ISNUMBER(O19),ISNUMBER(X19)),IF(O19&lt;&gt;0,(X19-O19)/O19,""),"")</f>
        <v/>
      </c>
      <c r="AH19" s="49">
        <f>IF(AND(ISNUMBER(N19),ISNUMBER(W19)),W19-N19,"")</f>
        <v/>
      </c>
      <c r="AI19" s="50">
        <f>IF(COUNT(R19,Q19,S19,T19)=0,"",IF(ISNUMBER(R19),--(R19&gt;=1.1),0)+IF(AND(ISNUMBER(Q19),ISNUMBER(I19)),--(Q19&gt;=0.95*(220-I19)),0)+IF(ISNUMBER(S19),--(S19&gt;=17),0)+IF(ISNUMBER(T19),--(T19=1),0))</f>
        <v/>
      </c>
      <c r="AJ19" s="50">
        <f>IF(COUNT(AA19,Z19,AB19,AC19)=0,"",IF(ISNUMBER(AA19),--(AA19&gt;=1.1),0)+IF(AND(ISNUMBER(Z19),ISNUMBER(I19)),--(Z19&gt;=0.95*(220-I19)),0)+IF(ISNUMBER(AB19),--(AB19&gt;=17),0)+IF(ISNUMBER(AC19),--(AC19=1),0))</f>
        <v/>
      </c>
      <c r="AK19" s="51">
        <f>IF(A19="","",TRIM(IF(COUNTIF($A$4:$A$33,A19)&gt;1,"ID 중복 ","")&amp;IF(LEN(A19)&lt;&gt;LEN(TRIM(A19)),"ID 앞뒤 공백 ","")&amp;IF(AND(B19&lt;&gt;1,B19&lt;&gt;2),"집단코드 확인 ","")&amp;IF(OR(D19="",AND(D19&lt;&gt;0,D19&lt;&gt;1)),"분석포함 코드 확인(빈칸=제외됨) ","")&amp;IF(AND(ISNUMBER(D19),D19=0,E19=""),"제외 사유 없음 ","")&amp;IF(AND(O19&lt;&gt;"",NOT(ISNUMBER(O19))),"사전VO2 숫자 아님 ","")&amp;IF(AND(X19&lt;&gt;"",NOT(ISNUMBER(X19))),"사후VO2 숫자 아님 ","")&amp;IF(AND(N19&lt;&gt;"",NOT(ISNUMBER(N19))),"사전체중 숫자 아님 ","")&amp;IF(AND(W19&lt;&gt;"",NOT(ISNUMBER(W19))),"사후체중 숫자 아님 ","")&amp;IF(ISNUMBER(O19),IF(OR(O19&lt;25,O19&gt;85),"사전VO2 범위(25–85) 확인 ",""),"")&amp;IF(ISNUMBER(X19),IF(OR(X19&lt;25,X19&gt;85),"사후VO2 범위(25–85) 확인 ",""),"")&amp;IF(AND(ISNUMBER(O19),ISNUMBER(X19)),IF(ABS(X19-O19)&gt;12,"VO2 변화량 12 초과 확인 ",""),"")&amp;IF(AND(ISNUMBER(P19),ISNUMBER(N19),ISNUMBER(O19)),IF(N19&lt;=0,"사전 체중 확인 ",IF(ABS(P19/N19-O19)&gt;0.5,"사전 절대값/체중≠상대값 ","")),"")&amp;IF(AND(ISNUMBER(Y19),ISNUMBER(W19),ISNUMBER(X19)),IF(W19&lt;=0,"사후 체중 확인 ",IF(ABS(Y19/W19-X19)&gt;0.5,"사후 절대값/체중≠상대값 ","")),"")&amp;IF(ISNUMBER(R19),IF(OR(R19&lt;0.85,R19&gt;1.5),"사전 RER 범위 확인 ",""),"")&amp;IF(ISNUMBER(AA19),IF(OR(AA19&lt;0.85,AA19&gt;1.5),"사후 RER 범위 확인 ",""),"")&amp;IF(ISNUMBER(Q19),IF(OR(Q19&lt;150,Q19&gt;225),"사전 최고심박 범위 확인 ",""),"")&amp;IF(ISNUMBER(Z19),IF(OR(Z19&lt;150,Z19&gt;225),"사후 최고심박 범위 확인 ",""),"")&amp;IF(AND(ISNUMBER(U19),ISNUMBER(AI19)),IF(AND(U19=1,AI19&lt;2),"사전 판정충족=1이나 기준 2개 미만 ",""),"")&amp;IF(AND(ISNUMBER(AD19),ISNUMBER(AJ19)),IF(AND(AD19=1,AJ19&lt;2),"사후 판정충족=1이나 기준 2개 미만 ",""),"")&amp;IF(AND(V19&lt;&gt;"",NOT(ISNUMBER(V19))),"사전 검사일 날짜형식 아님 ","")&amp;IF(AND(AE19&lt;&gt;"",NOT(ISNUMBER(AE19))),"사후 검사일 날짜형식 아님 ","")&amp;IF(AND(ISNUMBER(V19),ISNUMBER(AE19)),IF(AE19&lt;=V19,"검사일 역전 ",IF(OR(AE19-V19&lt;77,AE19-V19&gt;126),"사전–사후 간격(11–18주) 확인 ","")),"")&amp;IF(D19=1,IF(OR(NOT(ISNUMBER(O19)),NOT(ISNUMBER(X19))),"분석포함인데 VO2 결측 ",""),"")))</f>
        <v/>
      </c>
    </row>
    <row r="20">
      <c r="A20" s="40" t="n"/>
      <c r="B20" s="41" t="n"/>
      <c r="C20" s="42">
        <f>IF(B20="","",IF(B20=1,"실험군",IF(B20=2,"통제군","코드오류")))</f>
        <v/>
      </c>
      <c r="D20" s="41" t="n"/>
      <c r="E20" s="43" t="n"/>
      <c r="F20" s="43" t="n"/>
      <c r="G20" s="40" t="n"/>
      <c r="H20" s="41" t="n"/>
      <c r="I20" s="41" t="n"/>
      <c r="J20" s="44" t="n"/>
      <c r="K20" s="40" t="n"/>
      <c r="L20" s="44" t="n"/>
      <c r="M20" s="43" t="n"/>
      <c r="N20" s="44" t="n"/>
      <c r="O20" s="45" t="n"/>
      <c r="P20" s="41" t="n"/>
      <c r="Q20" s="41" t="n"/>
      <c r="R20" s="45" t="n"/>
      <c r="S20" s="41" t="n"/>
      <c r="T20" s="41" t="n"/>
      <c r="U20" s="41" t="n"/>
      <c r="V20" s="46" t="n"/>
      <c r="W20" s="44" t="n"/>
      <c r="X20" s="45" t="n"/>
      <c r="Y20" s="41" t="n"/>
      <c r="Z20" s="41" t="n"/>
      <c r="AA20" s="45" t="n"/>
      <c r="AB20" s="41" t="n"/>
      <c r="AC20" s="41" t="n"/>
      <c r="AD20" s="41" t="n"/>
      <c r="AE20" s="46" t="n"/>
      <c r="AF20" s="47">
        <f>IF(AND(ISNUMBER(O20),ISNUMBER(X20)),X20-O20,"")</f>
        <v/>
      </c>
      <c r="AG20" s="48">
        <f>IF(AND(ISNUMBER(O20),ISNUMBER(X20)),IF(O20&lt;&gt;0,(X20-O20)/O20,""),"")</f>
        <v/>
      </c>
      <c r="AH20" s="49">
        <f>IF(AND(ISNUMBER(N20),ISNUMBER(W20)),W20-N20,"")</f>
        <v/>
      </c>
      <c r="AI20" s="50">
        <f>IF(COUNT(R20,Q20,S20,T20)=0,"",IF(ISNUMBER(R20),--(R20&gt;=1.1),0)+IF(AND(ISNUMBER(Q20),ISNUMBER(I20)),--(Q20&gt;=0.95*(220-I20)),0)+IF(ISNUMBER(S20),--(S20&gt;=17),0)+IF(ISNUMBER(T20),--(T20=1),0))</f>
        <v/>
      </c>
      <c r="AJ20" s="50">
        <f>IF(COUNT(AA20,Z20,AB20,AC20)=0,"",IF(ISNUMBER(AA20),--(AA20&gt;=1.1),0)+IF(AND(ISNUMBER(Z20),ISNUMBER(I20)),--(Z20&gt;=0.95*(220-I20)),0)+IF(ISNUMBER(AB20),--(AB20&gt;=17),0)+IF(ISNUMBER(AC20),--(AC20=1),0))</f>
        <v/>
      </c>
      <c r="AK20" s="51">
        <f>IF(A20="","",TRIM(IF(COUNTIF($A$4:$A$33,A20)&gt;1,"ID 중복 ","")&amp;IF(LEN(A20)&lt;&gt;LEN(TRIM(A20)),"ID 앞뒤 공백 ","")&amp;IF(AND(B20&lt;&gt;1,B20&lt;&gt;2),"집단코드 확인 ","")&amp;IF(OR(D20="",AND(D20&lt;&gt;0,D20&lt;&gt;1)),"분석포함 코드 확인(빈칸=제외됨) ","")&amp;IF(AND(ISNUMBER(D20),D20=0,E20=""),"제외 사유 없음 ","")&amp;IF(AND(O20&lt;&gt;"",NOT(ISNUMBER(O20))),"사전VO2 숫자 아님 ","")&amp;IF(AND(X20&lt;&gt;"",NOT(ISNUMBER(X20))),"사후VO2 숫자 아님 ","")&amp;IF(AND(N20&lt;&gt;"",NOT(ISNUMBER(N20))),"사전체중 숫자 아님 ","")&amp;IF(AND(W20&lt;&gt;"",NOT(ISNUMBER(W20))),"사후체중 숫자 아님 ","")&amp;IF(ISNUMBER(O20),IF(OR(O20&lt;25,O20&gt;85),"사전VO2 범위(25–85) 확인 ",""),"")&amp;IF(ISNUMBER(X20),IF(OR(X20&lt;25,X20&gt;85),"사후VO2 범위(25–85) 확인 ",""),"")&amp;IF(AND(ISNUMBER(O20),ISNUMBER(X20)),IF(ABS(X20-O20)&gt;12,"VO2 변화량 12 초과 확인 ",""),"")&amp;IF(AND(ISNUMBER(P20),ISNUMBER(N20),ISNUMBER(O20)),IF(N20&lt;=0,"사전 체중 확인 ",IF(ABS(P20/N20-O20)&gt;0.5,"사전 절대값/체중≠상대값 ","")),"")&amp;IF(AND(ISNUMBER(Y20),ISNUMBER(W20),ISNUMBER(X20)),IF(W20&lt;=0,"사후 체중 확인 ",IF(ABS(Y20/W20-X20)&gt;0.5,"사후 절대값/체중≠상대값 ","")),"")&amp;IF(ISNUMBER(R20),IF(OR(R20&lt;0.85,R20&gt;1.5),"사전 RER 범위 확인 ",""),"")&amp;IF(ISNUMBER(AA20),IF(OR(AA20&lt;0.85,AA20&gt;1.5),"사후 RER 범위 확인 ",""),"")&amp;IF(ISNUMBER(Q20),IF(OR(Q20&lt;150,Q20&gt;225),"사전 최고심박 범위 확인 ",""),"")&amp;IF(ISNUMBER(Z20),IF(OR(Z20&lt;150,Z20&gt;225),"사후 최고심박 범위 확인 ",""),"")&amp;IF(AND(ISNUMBER(U20),ISNUMBER(AI20)),IF(AND(U20=1,AI20&lt;2),"사전 판정충족=1이나 기준 2개 미만 ",""),"")&amp;IF(AND(ISNUMBER(AD20),ISNUMBER(AJ20)),IF(AND(AD20=1,AJ20&lt;2),"사후 판정충족=1이나 기준 2개 미만 ",""),"")&amp;IF(AND(V20&lt;&gt;"",NOT(ISNUMBER(V20))),"사전 검사일 날짜형식 아님 ","")&amp;IF(AND(AE20&lt;&gt;"",NOT(ISNUMBER(AE20))),"사후 검사일 날짜형식 아님 ","")&amp;IF(AND(ISNUMBER(V20),ISNUMBER(AE20)),IF(AE20&lt;=V20,"검사일 역전 ",IF(OR(AE20-V20&lt;77,AE20-V20&gt;126),"사전–사후 간격(11–18주) 확인 ","")),"")&amp;IF(D20=1,IF(OR(NOT(ISNUMBER(O20)),NOT(ISNUMBER(X20))),"분석포함인데 VO2 결측 ",""),"")))</f>
        <v/>
      </c>
    </row>
    <row r="21">
      <c r="A21" s="40" t="n"/>
      <c r="B21" s="41" t="n"/>
      <c r="C21" s="42">
        <f>IF(B21="","",IF(B21=1,"실험군",IF(B21=2,"통제군","코드오류")))</f>
        <v/>
      </c>
      <c r="D21" s="41" t="n"/>
      <c r="E21" s="43" t="n"/>
      <c r="F21" s="43" t="n"/>
      <c r="G21" s="40" t="n"/>
      <c r="H21" s="41" t="n"/>
      <c r="I21" s="41" t="n"/>
      <c r="J21" s="44" t="n"/>
      <c r="K21" s="40" t="n"/>
      <c r="L21" s="44" t="n"/>
      <c r="M21" s="43" t="n"/>
      <c r="N21" s="44" t="n"/>
      <c r="O21" s="45" t="n"/>
      <c r="P21" s="41" t="n"/>
      <c r="Q21" s="41" t="n"/>
      <c r="R21" s="45" t="n"/>
      <c r="S21" s="41" t="n"/>
      <c r="T21" s="41" t="n"/>
      <c r="U21" s="41" t="n"/>
      <c r="V21" s="46" t="n"/>
      <c r="W21" s="44" t="n"/>
      <c r="X21" s="45" t="n"/>
      <c r="Y21" s="41" t="n"/>
      <c r="Z21" s="41" t="n"/>
      <c r="AA21" s="45" t="n"/>
      <c r="AB21" s="41" t="n"/>
      <c r="AC21" s="41" t="n"/>
      <c r="AD21" s="41" t="n"/>
      <c r="AE21" s="46" t="n"/>
      <c r="AF21" s="47">
        <f>IF(AND(ISNUMBER(O21),ISNUMBER(X21)),X21-O21,"")</f>
        <v/>
      </c>
      <c r="AG21" s="48">
        <f>IF(AND(ISNUMBER(O21),ISNUMBER(X21)),IF(O21&lt;&gt;0,(X21-O21)/O21,""),"")</f>
        <v/>
      </c>
      <c r="AH21" s="49">
        <f>IF(AND(ISNUMBER(N21),ISNUMBER(W21)),W21-N21,"")</f>
        <v/>
      </c>
      <c r="AI21" s="50">
        <f>IF(COUNT(R21,Q21,S21,T21)=0,"",IF(ISNUMBER(R21),--(R21&gt;=1.1),0)+IF(AND(ISNUMBER(Q21),ISNUMBER(I21)),--(Q21&gt;=0.95*(220-I21)),0)+IF(ISNUMBER(S21),--(S21&gt;=17),0)+IF(ISNUMBER(T21),--(T21=1),0))</f>
        <v/>
      </c>
      <c r="AJ21" s="50">
        <f>IF(COUNT(AA21,Z21,AB21,AC21)=0,"",IF(ISNUMBER(AA21),--(AA21&gt;=1.1),0)+IF(AND(ISNUMBER(Z21),ISNUMBER(I21)),--(Z21&gt;=0.95*(220-I21)),0)+IF(ISNUMBER(AB21),--(AB21&gt;=17),0)+IF(ISNUMBER(AC21),--(AC21=1),0))</f>
        <v/>
      </c>
      <c r="AK21" s="51">
        <f>IF(A21="","",TRIM(IF(COUNTIF($A$4:$A$33,A21)&gt;1,"ID 중복 ","")&amp;IF(LEN(A21)&lt;&gt;LEN(TRIM(A21)),"ID 앞뒤 공백 ","")&amp;IF(AND(B21&lt;&gt;1,B21&lt;&gt;2),"집단코드 확인 ","")&amp;IF(OR(D21="",AND(D21&lt;&gt;0,D21&lt;&gt;1)),"분석포함 코드 확인(빈칸=제외됨) ","")&amp;IF(AND(ISNUMBER(D21),D21=0,E21=""),"제외 사유 없음 ","")&amp;IF(AND(O21&lt;&gt;"",NOT(ISNUMBER(O21))),"사전VO2 숫자 아님 ","")&amp;IF(AND(X21&lt;&gt;"",NOT(ISNUMBER(X21))),"사후VO2 숫자 아님 ","")&amp;IF(AND(N21&lt;&gt;"",NOT(ISNUMBER(N21))),"사전체중 숫자 아님 ","")&amp;IF(AND(W21&lt;&gt;"",NOT(ISNUMBER(W21))),"사후체중 숫자 아님 ","")&amp;IF(ISNUMBER(O21),IF(OR(O21&lt;25,O21&gt;85),"사전VO2 범위(25–85) 확인 ",""),"")&amp;IF(ISNUMBER(X21),IF(OR(X21&lt;25,X21&gt;85),"사후VO2 범위(25–85) 확인 ",""),"")&amp;IF(AND(ISNUMBER(O21),ISNUMBER(X21)),IF(ABS(X21-O21)&gt;12,"VO2 변화량 12 초과 확인 ",""),"")&amp;IF(AND(ISNUMBER(P21),ISNUMBER(N21),ISNUMBER(O21)),IF(N21&lt;=0,"사전 체중 확인 ",IF(ABS(P21/N21-O21)&gt;0.5,"사전 절대값/체중≠상대값 ","")),"")&amp;IF(AND(ISNUMBER(Y21),ISNUMBER(W21),ISNUMBER(X21)),IF(W21&lt;=0,"사후 체중 확인 ",IF(ABS(Y21/W21-X21)&gt;0.5,"사후 절대값/체중≠상대값 ","")),"")&amp;IF(ISNUMBER(R21),IF(OR(R21&lt;0.85,R21&gt;1.5),"사전 RER 범위 확인 ",""),"")&amp;IF(ISNUMBER(AA21),IF(OR(AA21&lt;0.85,AA21&gt;1.5),"사후 RER 범위 확인 ",""),"")&amp;IF(ISNUMBER(Q21),IF(OR(Q21&lt;150,Q21&gt;225),"사전 최고심박 범위 확인 ",""),"")&amp;IF(ISNUMBER(Z21),IF(OR(Z21&lt;150,Z21&gt;225),"사후 최고심박 범위 확인 ",""),"")&amp;IF(AND(ISNUMBER(U21),ISNUMBER(AI21)),IF(AND(U21=1,AI21&lt;2),"사전 판정충족=1이나 기준 2개 미만 ",""),"")&amp;IF(AND(ISNUMBER(AD21),ISNUMBER(AJ21)),IF(AND(AD21=1,AJ21&lt;2),"사후 판정충족=1이나 기준 2개 미만 ",""),"")&amp;IF(AND(V21&lt;&gt;"",NOT(ISNUMBER(V21))),"사전 검사일 날짜형식 아님 ","")&amp;IF(AND(AE21&lt;&gt;"",NOT(ISNUMBER(AE21))),"사후 검사일 날짜형식 아님 ","")&amp;IF(AND(ISNUMBER(V21),ISNUMBER(AE21)),IF(AE21&lt;=V21,"검사일 역전 ",IF(OR(AE21-V21&lt;77,AE21-V21&gt;126),"사전–사후 간격(11–18주) 확인 ","")),"")&amp;IF(D21=1,IF(OR(NOT(ISNUMBER(O21)),NOT(ISNUMBER(X21))),"분석포함인데 VO2 결측 ",""),"")))</f>
        <v/>
      </c>
    </row>
    <row r="22">
      <c r="A22" s="40" t="n"/>
      <c r="B22" s="41" t="n"/>
      <c r="C22" s="42">
        <f>IF(B22="","",IF(B22=1,"실험군",IF(B22=2,"통제군","코드오류")))</f>
        <v/>
      </c>
      <c r="D22" s="41" t="n"/>
      <c r="E22" s="43" t="n"/>
      <c r="F22" s="43" t="n"/>
      <c r="G22" s="40" t="n"/>
      <c r="H22" s="41" t="n"/>
      <c r="I22" s="41" t="n"/>
      <c r="J22" s="44" t="n"/>
      <c r="K22" s="40" t="n"/>
      <c r="L22" s="44" t="n"/>
      <c r="M22" s="43" t="n"/>
      <c r="N22" s="44" t="n"/>
      <c r="O22" s="45" t="n"/>
      <c r="P22" s="41" t="n"/>
      <c r="Q22" s="41" t="n"/>
      <c r="R22" s="45" t="n"/>
      <c r="S22" s="41" t="n"/>
      <c r="T22" s="41" t="n"/>
      <c r="U22" s="41" t="n"/>
      <c r="V22" s="46" t="n"/>
      <c r="W22" s="44" t="n"/>
      <c r="X22" s="45" t="n"/>
      <c r="Y22" s="41" t="n"/>
      <c r="Z22" s="41" t="n"/>
      <c r="AA22" s="45" t="n"/>
      <c r="AB22" s="41" t="n"/>
      <c r="AC22" s="41" t="n"/>
      <c r="AD22" s="41" t="n"/>
      <c r="AE22" s="46" t="n"/>
      <c r="AF22" s="47">
        <f>IF(AND(ISNUMBER(O22),ISNUMBER(X22)),X22-O22,"")</f>
        <v/>
      </c>
      <c r="AG22" s="48">
        <f>IF(AND(ISNUMBER(O22),ISNUMBER(X22)),IF(O22&lt;&gt;0,(X22-O22)/O22,""),"")</f>
        <v/>
      </c>
      <c r="AH22" s="49">
        <f>IF(AND(ISNUMBER(N22),ISNUMBER(W22)),W22-N22,"")</f>
        <v/>
      </c>
      <c r="AI22" s="50">
        <f>IF(COUNT(R22,Q22,S22,T22)=0,"",IF(ISNUMBER(R22),--(R22&gt;=1.1),0)+IF(AND(ISNUMBER(Q22),ISNUMBER(I22)),--(Q22&gt;=0.95*(220-I22)),0)+IF(ISNUMBER(S22),--(S22&gt;=17),0)+IF(ISNUMBER(T22),--(T22=1),0))</f>
        <v/>
      </c>
      <c r="AJ22" s="50">
        <f>IF(COUNT(AA22,Z22,AB22,AC22)=0,"",IF(ISNUMBER(AA22),--(AA22&gt;=1.1),0)+IF(AND(ISNUMBER(Z22),ISNUMBER(I22)),--(Z22&gt;=0.95*(220-I22)),0)+IF(ISNUMBER(AB22),--(AB22&gt;=17),0)+IF(ISNUMBER(AC22),--(AC22=1),0))</f>
        <v/>
      </c>
      <c r="AK22" s="51">
        <f>IF(A22="","",TRIM(IF(COUNTIF($A$4:$A$33,A22)&gt;1,"ID 중복 ","")&amp;IF(LEN(A22)&lt;&gt;LEN(TRIM(A22)),"ID 앞뒤 공백 ","")&amp;IF(AND(B22&lt;&gt;1,B22&lt;&gt;2),"집단코드 확인 ","")&amp;IF(OR(D22="",AND(D22&lt;&gt;0,D22&lt;&gt;1)),"분석포함 코드 확인(빈칸=제외됨) ","")&amp;IF(AND(ISNUMBER(D22),D22=0,E22=""),"제외 사유 없음 ","")&amp;IF(AND(O22&lt;&gt;"",NOT(ISNUMBER(O22))),"사전VO2 숫자 아님 ","")&amp;IF(AND(X22&lt;&gt;"",NOT(ISNUMBER(X22))),"사후VO2 숫자 아님 ","")&amp;IF(AND(N22&lt;&gt;"",NOT(ISNUMBER(N22))),"사전체중 숫자 아님 ","")&amp;IF(AND(W22&lt;&gt;"",NOT(ISNUMBER(W22))),"사후체중 숫자 아님 ","")&amp;IF(ISNUMBER(O22),IF(OR(O22&lt;25,O22&gt;85),"사전VO2 범위(25–85) 확인 ",""),"")&amp;IF(ISNUMBER(X22),IF(OR(X22&lt;25,X22&gt;85),"사후VO2 범위(25–85) 확인 ",""),"")&amp;IF(AND(ISNUMBER(O22),ISNUMBER(X22)),IF(ABS(X22-O22)&gt;12,"VO2 변화량 12 초과 확인 ",""),"")&amp;IF(AND(ISNUMBER(P22),ISNUMBER(N22),ISNUMBER(O22)),IF(N22&lt;=0,"사전 체중 확인 ",IF(ABS(P22/N22-O22)&gt;0.5,"사전 절대값/체중≠상대값 ","")),"")&amp;IF(AND(ISNUMBER(Y22),ISNUMBER(W22),ISNUMBER(X22)),IF(W22&lt;=0,"사후 체중 확인 ",IF(ABS(Y22/W22-X22)&gt;0.5,"사후 절대값/체중≠상대값 ","")),"")&amp;IF(ISNUMBER(R22),IF(OR(R22&lt;0.85,R22&gt;1.5),"사전 RER 범위 확인 ",""),"")&amp;IF(ISNUMBER(AA22),IF(OR(AA22&lt;0.85,AA22&gt;1.5),"사후 RER 범위 확인 ",""),"")&amp;IF(ISNUMBER(Q22),IF(OR(Q22&lt;150,Q22&gt;225),"사전 최고심박 범위 확인 ",""),"")&amp;IF(ISNUMBER(Z22),IF(OR(Z22&lt;150,Z22&gt;225),"사후 최고심박 범위 확인 ",""),"")&amp;IF(AND(ISNUMBER(U22),ISNUMBER(AI22)),IF(AND(U22=1,AI22&lt;2),"사전 판정충족=1이나 기준 2개 미만 ",""),"")&amp;IF(AND(ISNUMBER(AD22),ISNUMBER(AJ22)),IF(AND(AD22=1,AJ22&lt;2),"사후 판정충족=1이나 기준 2개 미만 ",""),"")&amp;IF(AND(V22&lt;&gt;"",NOT(ISNUMBER(V22))),"사전 검사일 날짜형식 아님 ","")&amp;IF(AND(AE22&lt;&gt;"",NOT(ISNUMBER(AE22))),"사후 검사일 날짜형식 아님 ","")&amp;IF(AND(ISNUMBER(V22),ISNUMBER(AE22)),IF(AE22&lt;=V22,"검사일 역전 ",IF(OR(AE22-V22&lt;77,AE22-V22&gt;126),"사전–사후 간격(11–18주) 확인 ","")),"")&amp;IF(D22=1,IF(OR(NOT(ISNUMBER(O22)),NOT(ISNUMBER(X22))),"분석포함인데 VO2 결측 ",""),"")))</f>
        <v/>
      </c>
    </row>
    <row r="23">
      <c r="A23" s="40" t="n"/>
      <c r="B23" s="41" t="n"/>
      <c r="C23" s="42">
        <f>IF(B23="","",IF(B23=1,"실험군",IF(B23=2,"통제군","코드오류")))</f>
        <v/>
      </c>
      <c r="D23" s="41" t="n"/>
      <c r="E23" s="43" t="n"/>
      <c r="F23" s="43" t="n"/>
      <c r="G23" s="40" t="n"/>
      <c r="H23" s="41" t="n"/>
      <c r="I23" s="41" t="n"/>
      <c r="J23" s="44" t="n"/>
      <c r="K23" s="40" t="n"/>
      <c r="L23" s="44" t="n"/>
      <c r="M23" s="43" t="n"/>
      <c r="N23" s="44" t="n"/>
      <c r="O23" s="45" t="n"/>
      <c r="P23" s="41" t="n"/>
      <c r="Q23" s="41" t="n"/>
      <c r="R23" s="45" t="n"/>
      <c r="S23" s="41" t="n"/>
      <c r="T23" s="41" t="n"/>
      <c r="U23" s="41" t="n"/>
      <c r="V23" s="46" t="n"/>
      <c r="W23" s="44" t="n"/>
      <c r="X23" s="45" t="n"/>
      <c r="Y23" s="41" t="n"/>
      <c r="Z23" s="41" t="n"/>
      <c r="AA23" s="45" t="n"/>
      <c r="AB23" s="41" t="n"/>
      <c r="AC23" s="41" t="n"/>
      <c r="AD23" s="41" t="n"/>
      <c r="AE23" s="46" t="n"/>
      <c r="AF23" s="47">
        <f>IF(AND(ISNUMBER(O23),ISNUMBER(X23)),X23-O23,"")</f>
        <v/>
      </c>
      <c r="AG23" s="48">
        <f>IF(AND(ISNUMBER(O23),ISNUMBER(X23)),IF(O23&lt;&gt;0,(X23-O23)/O23,""),"")</f>
        <v/>
      </c>
      <c r="AH23" s="49">
        <f>IF(AND(ISNUMBER(N23),ISNUMBER(W23)),W23-N23,"")</f>
        <v/>
      </c>
      <c r="AI23" s="50">
        <f>IF(COUNT(R23,Q23,S23,T23)=0,"",IF(ISNUMBER(R23),--(R23&gt;=1.1),0)+IF(AND(ISNUMBER(Q23),ISNUMBER(I23)),--(Q23&gt;=0.95*(220-I23)),0)+IF(ISNUMBER(S23),--(S23&gt;=17),0)+IF(ISNUMBER(T23),--(T23=1),0))</f>
        <v/>
      </c>
      <c r="AJ23" s="50">
        <f>IF(COUNT(AA23,Z23,AB23,AC23)=0,"",IF(ISNUMBER(AA23),--(AA23&gt;=1.1),0)+IF(AND(ISNUMBER(Z23),ISNUMBER(I23)),--(Z23&gt;=0.95*(220-I23)),0)+IF(ISNUMBER(AB23),--(AB23&gt;=17),0)+IF(ISNUMBER(AC23),--(AC23=1),0))</f>
        <v/>
      </c>
      <c r="AK23" s="51">
        <f>IF(A23="","",TRIM(IF(COUNTIF($A$4:$A$33,A23)&gt;1,"ID 중복 ","")&amp;IF(LEN(A23)&lt;&gt;LEN(TRIM(A23)),"ID 앞뒤 공백 ","")&amp;IF(AND(B23&lt;&gt;1,B23&lt;&gt;2),"집단코드 확인 ","")&amp;IF(OR(D23="",AND(D23&lt;&gt;0,D23&lt;&gt;1)),"분석포함 코드 확인(빈칸=제외됨) ","")&amp;IF(AND(ISNUMBER(D23),D23=0,E23=""),"제외 사유 없음 ","")&amp;IF(AND(O23&lt;&gt;"",NOT(ISNUMBER(O23))),"사전VO2 숫자 아님 ","")&amp;IF(AND(X23&lt;&gt;"",NOT(ISNUMBER(X23))),"사후VO2 숫자 아님 ","")&amp;IF(AND(N23&lt;&gt;"",NOT(ISNUMBER(N23))),"사전체중 숫자 아님 ","")&amp;IF(AND(W23&lt;&gt;"",NOT(ISNUMBER(W23))),"사후체중 숫자 아님 ","")&amp;IF(ISNUMBER(O23),IF(OR(O23&lt;25,O23&gt;85),"사전VO2 범위(25–85) 확인 ",""),"")&amp;IF(ISNUMBER(X23),IF(OR(X23&lt;25,X23&gt;85),"사후VO2 범위(25–85) 확인 ",""),"")&amp;IF(AND(ISNUMBER(O23),ISNUMBER(X23)),IF(ABS(X23-O23)&gt;12,"VO2 변화량 12 초과 확인 ",""),"")&amp;IF(AND(ISNUMBER(P23),ISNUMBER(N23),ISNUMBER(O23)),IF(N23&lt;=0,"사전 체중 확인 ",IF(ABS(P23/N23-O23)&gt;0.5,"사전 절대값/체중≠상대값 ","")),"")&amp;IF(AND(ISNUMBER(Y23),ISNUMBER(W23),ISNUMBER(X23)),IF(W23&lt;=0,"사후 체중 확인 ",IF(ABS(Y23/W23-X23)&gt;0.5,"사후 절대값/체중≠상대값 ","")),"")&amp;IF(ISNUMBER(R23),IF(OR(R23&lt;0.85,R23&gt;1.5),"사전 RER 범위 확인 ",""),"")&amp;IF(ISNUMBER(AA23),IF(OR(AA23&lt;0.85,AA23&gt;1.5),"사후 RER 범위 확인 ",""),"")&amp;IF(ISNUMBER(Q23),IF(OR(Q23&lt;150,Q23&gt;225),"사전 최고심박 범위 확인 ",""),"")&amp;IF(ISNUMBER(Z23),IF(OR(Z23&lt;150,Z23&gt;225),"사후 최고심박 범위 확인 ",""),"")&amp;IF(AND(ISNUMBER(U23),ISNUMBER(AI23)),IF(AND(U23=1,AI23&lt;2),"사전 판정충족=1이나 기준 2개 미만 ",""),"")&amp;IF(AND(ISNUMBER(AD23),ISNUMBER(AJ23)),IF(AND(AD23=1,AJ23&lt;2),"사후 판정충족=1이나 기준 2개 미만 ",""),"")&amp;IF(AND(V23&lt;&gt;"",NOT(ISNUMBER(V23))),"사전 검사일 날짜형식 아님 ","")&amp;IF(AND(AE23&lt;&gt;"",NOT(ISNUMBER(AE23))),"사후 검사일 날짜형식 아님 ","")&amp;IF(AND(ISNUMBER(V23),ISNUMBER(AE23)),IF(AE23&lt;=V23,"검사일 역전 ",IF(OR(AE23-V23&lt;77,AE23-V23&gt;126),"사전–사후 간격(11–18주) 확인 ","")),"")&amp;IF(D23=1,IF(OR(NOT(ISNUMBER(O23)),NOT(ISNUMBER(X23))),"분석포함인데 VO2 결측 ",""),"")))</f>
        <v/>
      </c>
    </row>
    <row r="24">
      <c r="A24" s="40" t="n"/>
      <c r="B24" s="41" t="n"/>
      <c r="C24" s="42">
        <f>IF(B24="","",IF(B24=1,"실험군",IF(B24=2,"통제군","코드오류")))</f>
        <v/>
      </c>
      <c r="D24" s="41" t="n"/>
      <c r="E24" s="43" t="n"/>
      <c r="F24" s="43" t="n"/>
      <c r="G24" s="40" t="n"/>
      <c r="H24" s="41" t="n"/>
      <c r="I24" s="41" t="n"/>
      <c r="J24" s="44" t="n"/>
      <c r="K24" s="40" t="n"/>
      <c r="L24" s="44" t="n"/>
      <c r="M24" s="43" t="n"/>
      <c r="N24" s="44" t="n"/>
      <c r="O24" s="45" t="n"/>
      <c r="P24" s="41" t="n"/>
      <c r="Q24" s="41" t="n"/>
      <c r="R24" s="45" t="n"/>
      <c r="S24" s="41" t="n"/>
      <c r="T24" s="41" t="n"/>
      <c r="U24" s="41" t="n"/>
      <c r="V24" s="46" t="n"/>
      <c r="W24" s="44" t="n"/>
      <c r="X24" s="45" t="n"/>
      <c r="Y24" s="41" t="n"/>
      <c r="Z24" s="41" t="n"/>
      <c r="AA24" s="45" t="n"/>
      <c r="AB24" s="41" t="n"/>
      <c r="AC24" s="41" t="n"/>
      <c r="AD24" s="41" t="n"/>
      <c r="AE24" s="46" t="n"/>
      <c r="AF24" s="47">
        <f>IF(AND(ISNUMBER(O24),ISNUMBER(X24)),X24-O24,"")</f>
        <v/>
      </c>
      <c r="AG24" s="48">
        <f>IF(AND(ISNUMBER(O24),ISNUMBER(X24)),IF(O24&lt;&gt;0,(X24-O24)/O24,""),"")</f>
        <v/>
      </c>
      <c r="AH24" s="49">
        <f>IF(AND(ISNUMBER(N24),ISNUMBER(W24)),W24-N24,"")</f>
        <v/>
      </c>
      <c r="AI24" s="50">
        <f>IF(COUNT(R24,Q24,S24,T24)=0,"",IF(ISNUMBER(R24),--(R24&gt;=1.1),0)+IF(AND(ISNUMBER(Q24),ISNUMBER(I24)),--(Q24&gt;=0.95*(220-I24)),0)+IF(ISNUMBER(S24),--(S24&gt;=17),0)+IF(ISNUMBER(T24),--(T24=1),0))</f>
        <v/>
      </c>
      <c r="AJ24" s="50">
        <f>IF(COUNT(AA24,Z24,AB24,AC24)=0,"",IF(ISNUMBER(AA24),--(AA24&gt;=1.1),0)+IF(AND(ISNUMBER(Z24),ISNUMBER(I24)),--(Z24&gt;=0.95*(220-I24)),0)+IF(ISNUMBER(AB24),--(AB24&gt;=17),0)+IF(ISNUMBER(AC24),--(AC24=1),0))</f>
        <v/>
      </c>
      <c r="AK24" s="51">
        <f>IF(A24="","",TRIM(IF(COUNTIF($A$4:$A$33,A24)&gt;1,"ID 중복 ","")&amp;IF(LEN(A24)&lt;&gt;LEN(TRIM(A24)),"ID 앞뒤 공백 ","")&amp;IF(AND(B24&lt;&gt;1,B24&lt;&gt;2),"집단코드 확인 ","")&amp;IF(OR(D24="",AND(D24&lt;&gt;0,D24&lt;&gt;1)),"분석포함 코드 확인(빈칸=제외됨) ","")&amp;IF(AND(ISNUMBER(D24),D24=0,E24=""),"제외 사유 없음 ","")&amp;IF(AND(O24&lt;&gt;"",NOT(ISNUMBER(O24))),"사전VO2 숫자 아님 ","")&amp;IF(AND(X24&lt;&gt;"",NOT(ISNUMBER(X24))),"사후VO2 숫자 아님 ","")&amp;IF(AND(N24&lt;&gt;"",NOT(ISNUMBER(N24))),"사전체중 숫자 아님 ","")&amp;IF(AND(W24&lt;&gt;"",NOT(ISNUMBER(W24))),"사후체중 숫자 아님 ","")&amp;IF(ISNUMBER(O24),IF(OR(O24&lt;25,O24&gt;85),"사전VO2 범위(25–85) 확인 ",""),"")&amp;IF(ISNUMBER(X24),IF(OR(X24&lt;25,X24&gt;85),"사후VO2 범위(25–85) 확인 ",""),"")&amp;IF(AND(ISNUMBER(O24),ISNUMBER(X24)),IF(ABS(X24-O24)&gt;12,"VO2 변화량 12 초과 확인 ",""),"")&amp;IF(AND(ISNUMBER(P24),ISNUMBER(N24),ISNUMBER(O24)),IF(N24&lt;=0,"사전 체중 확인 ",IF(ABS(P24/N24-O24)&gt;0.5,"사전 절대값/체중≠상대값 ","")),"")&amp;IF(AND(ISNUMBER(Y24),ISNUMBER(W24),ISNUMBER(X24)),IF(W24&lt;=0,"사후 체중 확인 ",IF(ABS(Y24/W24-X24)&gt;0.5,"사후 절대값/체중≠상대값 ","")),"")&amp;IF(ISNUMBER(R24),IF(OR(R24&lt;0.85,R24&gt;1.5),"사전 RER 범위 확인 ",""),"")&amp;IF(ISNUMBER(AA24),IF(OR(AA24&lt;0.85,AA24&gt;1.5),"사후 RER 범위 확인 ",""),"")&amp;IF(ISNUMBER(Q24),IF(OR(Q24&lt;150,Q24&gt;225),"사전 최고심박 범위 확인 ",""),"")&amp;IF(ISNUMBER(Z24),IF(OR(Z24&lt;150,Z24&gt;225),"사후 최고심박 범위 확인 ",""),"")&amp;IF(AND(ISNUMBER(U24),ISNUMBER(AI24)),IF(AND(U24=1,AI24&lt;2),"사전 판정충족=1이나 기준 2개 미만 ",""),"")&amp;IF(AND(ISNUMBER(AD24),ISNUMBER(AJ24)),IF(AND(AD24=1,AJ24&lt;2),"사후 판정충족=1이나 기준 2개 미만 ",""),"")&amp;IF(AND(V24&lt;&gt;"",NOT(ISNUMBER(V24))),"사전 검사일 날짜형식 아님 ","")&amp;IF(AND(AE24&lt;&gt;"",NOT(ISNUMBER(AE24))),"사후 검사일 날짜형식 아님 ","")&amp;IF(AND(ISNUMBER(V24),ISNUMBER(AE24)),IF(AE24&lt;=V24,"검사일 역전 ",IF(OR(AE24-V24&lt;77,AE24-V24&gt;126),"사전–사후 간격(11–18주) 확인 ","")),"")&amp;IF(D24=1,IF(OR(NOT(ISNUMBER(O24)),NOT(ISNUMBER(X24))),"분석포함인데 VO2 결측 ",""),"")))</f>
        <v/>
      </c>
    </row>
    <row r="25">
      <c r="A25" s="40" t="n"/>
      <c r="B25" s="41" t="n"/>
      <c r="C25" s="42">
        <f>IF(B25="","",IF(B25=1,"실험군",IF(B25=2,"통제군","코드오류")))</f>
        <v/>
      </c>
      <c r="D25" s="41" t="n"/>
      <c r="E25" s="43" t="n"/>
      <c r="F25" s="43" t="n"/>
      <c r="G25" s="40" t="n"/>
      <c r="H25" s="41" t="n"/>
      <c r="I25" s="41" t="n"/>
      <c r="J25" s="44" t="n"/>
      <c r="K25" s="40" t="n"/>
      <c r="L25" s="44" t="n"/>
      <c r="M25" s="43" t="n"/>
      <c r="N25" s="44" t="n"/>
      <c r="O25" s="45" t="n"/>
      <c r="P25" s="41" t="n"/>
      <c r="Q25" s="41" t="n"/>
      <c r="R25" s="45" t="n"/>
      <c r="S25" s="41" t="n"/>
      <c r="T25" s="41" t="n"/>
      <c r="U25" s="41" t="n"/>
      <c r="V25" s="46" t="n"/>
      <c r="W25" s="44" t="n"/>
      <c r="X25" s="45" t="n"/>
      <c r="Y25" s="41" t="n"/>
      <c r="Z25" s="41" t="n"/>
      <c r="AA25" s="45" t="n"/>
      <c r="AB25" s="41" t="n"/>
      <c r="AC25" s="41" t="n"/>
      <c r="AD25" s="41" t="n"/>
      <c r="AE25" s="46" t="n"/>
      <c r="AF25" s="47">
        <f>IF(AND(ISNUMBER(O25),ISNUMBER(X25)),X25-O25,"")</f>
        <v/>
      </c>
      <c r="AG25" s="48">
        <f>IF(AND(ISNUMBER(O25),ISNUMBER(X25)),IF(O25&lt;&gt;0,(X25-O25)/O25,""),"")</f>
        <v/>
      </c>
      <c r="AH25" s="49">
        <f>IF(AND(ISNUMBER(N25),ISNUMBER(W25)),W25-N25,"")</f>
        <v/>
      </c>
      <c r="AI25" s="50">
        <f>IF(COUNT(R25,Q25,S25,T25)=0,"",IF(ISNUMBER(R25),--(R25&gt;=1.1),0)+IF(AND(ISNUMBER(Q25),ISNUMBER(I25)),--(Q25&gt;=0.95*(220-I25)),0)+IF(ISNUMBER(S25),--(S25&gt;=17),0)+IF(ISNUMBER(T25),--(T25=1),0))</f>
        <v/>
      </c>
      <c r="AJ25" s="50">
        <f>IF(COUNT(AA25,Z25,AB25,AC25)=0,"",IF(ISNUMBER(AA25),--(AA25&gt;=1.1),0)+IF(AND(ISNUMBER(Z25),ISNUMBER(I25)),--(Z25&gt;=0.95*(220-I25)),0)+IF(ISNUMBER(AB25),--(AB25&gt;=17),0)+IF(ISNUMBER(AC25),--(AC25=1),0))</f>
        <v/>
      </c>
      <c r="AK25" s="51">
        <f>IF(A25="","",TRIM(IF(COUNTIF($A$4:$A$33,A25)&gt;1,"ID 중복 ","")&amp;IF(LEN(A25)&lt;&gt;LEN(TRIM(A25)),"ID 앞뒤 공백 ","")&amp;IF(AND(B25&lt;&gt;1,B25&lt;&gt;2),"집단코드 확인 ","")&amp;IF(OR(D25="",AND(D25&lt;&gt;0,D25&lt;&gt;1)),"분석포함 코드 확인(빈칸=제외됨) ","")&amp;IF(AND(ISNUMBER(D25),D25=0,E25=""),"제외 사유 없음 ","")&amp;IF(AND(O25&lt;&gt;"",NOT(ISNUMBER(O25))),"사전VO2 숫자 아님 ","")&amp;IF(AND(X25&lt;&gt;"",NOT(ISNUMBER(X25))),"사후VO2 숫자 아님 ","")&amp;IF(AND(N25&lt;&gt;"",NOT(ISNUMBER(N25))),"사전체중 숫자 아님 ","")&amp;IF(AND(W25&lt;&gt;"",NOT(ISNUMBER(W25))),"사후체중 숫자 아님 ","")&amp;IF(ISNUMBER(O25),IF(OR(O25&lt;25,O25&gt;85),"사전VO2 범위(25–85) 확인 ",""),"")&amp;IF(ISNUMBER(X25),IF(OR(X25&lt;25,X25&gt;85),"사후VO2 범위(25–85) 확인 ",""),"")&amp;IF(AND(ISNUMBER(O25),ISNUMBER(X25)),IF(ABS(X25-O25)&gt;12,"VO2 변화량 12 초과 확인 ",""),"")&amp;IF(AND(ISNUMBER(P25),ISNUMBER(N25),ISNUMBER(O25)),IF(N25&lt;=0,"사전 체중 확인 ",IF(ABS(P25/N25-O25)&gt;0.5,"사전 절대값/체중≠상대값 ","")),"")&amp;IF(AND(ISNUMBER(Y25),ISNUMBER(W25),ISNUMBER(X25)),IF(W25&lt;=0,"사후 체중 확인 ",IF(ABS(Y25/W25-X25)&gt;0.5,"사후 절대값/체중≠상대값 ","")),"")&amp;IF(ISNUMBER(R25),IF(OR(R25&lt;0.85,R25&gt;1.5),"사전 RER 범위 확인 ",""),"")&amp;IF(ISNUMBER(AA25),IF(OR(AA25&lt;0.85,AA25&gt;1.5),"사후 RER 범위 확인 ",""),"")&amp;IF(ISNUMBER(Q25),IF(OR(Q25&lt;150,Q25&gt;225),"사전 최고심박 범위 확인 ",""),"")&amp;IF(ISNUMBER(Z25),IF(OR(Z25&lt;150,Z25&gt;225),"사후 최고심박 범위 확인 ",""),"")&amp;IF(AND(ISNUMBER(U25),ISNUMBER(AI25)),IF(AND(U25=1,AI25&lt;2),"사전 판정충족=1이나 기준 2개 미만 ",""),"")&amp;IF(AND(ISNUMBER(AD25),ISNUMBER(AJ25)),IF(AND(AD25=1,AJ25&lt;2),"사후 판정충족=1이나 기준 2개 미만 ",""),"")&amp;IF(AND(V25&lt;&gt;"",NOT(ISNUMBER(V25))),"사전 검사일 날짜형식 아님 ","")&amp;IF(AND(AE25&lt;&gt;"",NOT(ISNUMBER(AE25))),"사후 검사일 날짜형식 아님 ","")&amp;IF(AND(ISNUMBER(V25),ISNUMBER(AE25)),IF(AE25&lt;=V25,"검사일 역전 ",IF(OR(AE25-V25&lt;77,AE25-V25&gt;126),"사전–사후 간격(11–18주) 확인 ","")),"")&amp;IF(D25=1,IF(OR(NOT(ISNUMBER(O25)),NOT(ISNUMBER(X25))),"분석포함인데 VO2 결측 ",""),"")))</f>
        <v/>
      </c>
    </row>
    <row r="26">
      <c r="A26" s="40" t="n"/>
      <c r="B26" s="41" t="n"/>
      <c r="C26" s="42">
        <f>IF(B26="","",IF(B26=1,"실험군",IF(B26=2,"통제군","코드오류")))</f>
        <v/>
      </c>
      <c r="D26" s="41" t="n"/>
      <c r="E26" s="43" t="n"/>
      <c r="F26" s="43" t="n"/>
      <c r="G26" s="40" t="n"/>
      <c r="H26" s="41" t="n"/>
      <c r="I26" s="41" t="n"/>
      <c r="J26" s="44" t="n"/>
      <c r="K26" s="40" t="n"/>
      <c r="L26" s="44" t="n"/>
      <c r="M26" s="43" t="n"/>
      <c r="N26" s="44" t="n"/>
      <c r="O26" s="45" t="n"/>
      <c r="P26" s="41" t="n"/>
      <c r="Q26" s="41" t="n"/>
      <c r="R26" s="45" t="n"/>
      <c r="S26" s="41" t="n"/>
      <c r="T26" s="41" t="n"/>
      <c r="U26" s="41" t="n"/>
      <c r="V26" s="46" t="n"/>
      <c r="W26" s="44" t="n"/>
      <c r="X26" s="45" t="n"/>
      <c r="Y26" s="41" t="n"/>
      <c r="Z26" s="41" t="n"/>
      <c r="AA26" s="45" t="n"/>
      <c r="AB26" s="41" t="n"/>
      <c r="AC26" s="41" t="n"/>
      <c r="AD26" s="41" t="n"/>
      <c r="AE26" s="46" t="n"/>
      <c r="AF26" s="47">
        <f>IF(AND(ISNUMBER(O26),ISNUMBER(X26)),X26-O26,"")</f>
        <v/>
      </c>
      <c r="AG26" s="48">
        <f>IF(AND(ISNUMBER(O26),ISNUMBER(X26)),IF(O26&lt;&gt;0,(X26-O26)/O26,""),"")</f>
        <v/>
      </c>
      <c r="AH26" s="49">
        <f>IF(AND(ISNUMBER(N26),ISNUMBER(W26)),W26-N26,"")</f>
        <v/>
      </c>
      <c r="AI26" s="50">
        <f>IF(COUNT(R26,Q26,S26,T26)=0,"",IF(ISNUMBER(R26),--(R26&gt;=1.1),0)+IF(AND(ISNUMBER(Q26),ISNUMBER(I26)),--(Q26&gt;=0.95*(220-I26)),0)+IF(ISNUMBER(S26),--(S26&gt;=17),0)+IF(ISNUMBER(T26),--(T26=1),0))</f>
        <v/>
      </c>
      <c r="AJ26" s="50">
        <f>IF(COUNT(AA26,Z26,AB26,AC26)=0,"",IF(ISNUMBER(AA26),--(AA26&gt;=1.1),0)+IF(AND(ISNUMBER(Z26),ISNUMBER(I26)),--(Z26&gt;=0.95*(220-I26)),0)+IF(ISNUMBER(AB26),--(AB26&gt;=17),0)+IF(ISNUMBER(AC26),--(AC26=1),0))</f>
        <v/>
      </c>
      <c r="AK26" s="51">
        <f>IF(A26="","",TRIM(IF(COUNTIF($A$4:$A$33,A26)&gt;1,"ID 중복 ","")&amp;IF(LEN(A26)&lt;&gt;LEN(TRIM(A26)),"ID 앞뒤 공백 ","")&amp;IF(AND(B26&lt;&gt;1,B26&lt;&gt;2),"집단코드 확인 ","")&amp;IF(OR(D26="",AND(D26&lt;&gt;0,D26&lt;&gt;1)),"분석포함 코드 확인(빈칸=제외됨) ","")&amp;IF(AND(ISNUMBER(D26),D26=0,E26=""),"제외 사유 없음 ","")&amp;IF(AND(O26&lt;&gt;"",NOT(ISNUMBER(O26))),"사전VO2 숫자 아님 ","")&amp;IF(AND(X26&lt;&gt;"",NOT(ISNUMBER(X26))),"사후VO2 숫자 아님 ","")&amp;IF(AND(N26&lt;&gt;"",NOT(ISNUMBER(N26))),"사전체중 숫자 아님 ","")&amp;IF(AND(W26&lt;&gt;"",NOT(ISNUMBER(W26))),"사후체중 숫자 아님 ","")&amp;IF(ISNUMBER(O26),IF(OR(O26&lt;25,O26&gt;85),"사전VO2 범위(25–85) 확인 ",""),"")&amp;IF(ISNUMBER(X26),IF(OR(X26&lt;25,X26&gt;85),"사후VO2 범위(25–85) 확인 ",""),"")&amp;IF(AND(ISNUMBER(O26),ISNUMBER(X26)),IF(ABS(X26-O26)&gt;12,"VO2 변화량 12 초과 확인 ",""),"")&amp;IF(AND(ISNUMBER(P26),ISNUMBER(N26),ISNUMBER(O26)),IF(N26&lt;=0,"사전 체중 확인 ",IF(ABS(P26/N26-O26)&gt;0.5,"사전 절대값/체중≠상대값 ","")),"")&amp;IF(AND(ISNUMBER(Y26),ISNUMBER(W26),ISNUMBER(X26)),IF(W26&lt;=0,"사후 체중 확인 ",IF(ABS(Y26/W26-X26)&gt;0.5,"사후 절대값/체중≠상대값 ","")),"")&amp;IF(ISNUMBER(R26),IF(OR(R26&lt;0.85,R26&gt;1.5),"사전 RER 범위 확인 ",""),"")&amp;IF(ISNUMBER(AA26),IF(OR(AA26&lt;0.85,AA26&gt;1.5),"사후 RER 범위 확인 ",""),"")&amp;IF(ISNUMBER(Q26),IF(OR(Q26&lt;150,Q26&gt;225),"사전 최고심박 범위 확인 ",""),"")&amp;IF(ISNUMBER(Z26),IF(OR(Z26&lt;150,Z26&gt;225),"사후 최고심박 범위 확인 ",""),"")&amp;IF(AND(ISNUMBER(U26),ISNUMBER(AI26)),IF(AND(U26=1,AI26&lt;2),"사전 판정충족=1이나 기준 2개 미만 ",""),"")&amp;IF(AND(ISNUMBER(AD26),ISNUMBER(AJ26)),IF(AND(AD26=1,AJ26&lt;2),"사후 판정충족=1이나 기준 2개 미만 ",""),"")&amp;IF(AND(V26&lt;&gt;"",NOT(ISNUMBER(V26))),"사전 검사일 날짜형식 아님 ","")&amp;IF(AND(AE26&lt;&gt;"",NOT(ISNUMBER(AE26))),"사후 검사일 날짜형식 아님 ","")&amp;IF(AND(ISNUMBER(V26),ISNUMBER(AE26)),IF(AE26&lt;=V26,"검사일 역전 ",IF(OR(AE26-V26&lt;77,AE26-V26&gt;126),"사전–사후 간격(11–18주) 확인 ","")),"")&amp;IF(D26=1,IF(OR(NOT(ISNUMBER(O26)),NOT(ISNUMBER(X26))),"분석포함인데 VO2 결측 ",""),"")))</f>
        <v/>
      </c>
    </row>
    <row r="27">
      <c r="A27" s="40" t="n"/>
      <c r="B27" s="41" t="n"/>
      <c r="C27" s="42">
        <f>IF(B27="","",IF(B27=1,"실험군",IF(B27=2,"통제군","코드오류")))</f>
        <v/>
      </c>
      <c r="D27" s="41" t="n"/>
      <c r="E27" s="43" t="n"/>
      <c r="F27" s="43" t="n"/>
      <c r="G27" s="40" t="n"/>
      <c r="H27" s="41" t="n"/>
      <c r="I27" s="41" t="n"/>
      <c r="J27" s="44" t="n"/>
      <c r="K27" s="40" t="n"/>
      <c r="L27" s="44" t="n"/>
      <c r="M27" s="43" t="n"/>
      <c r="N27" s="44" t="n"/>
      <c r="O27" s="45" t="n"/>
      <c r="P27" s="41" t="n"/>
      <c r="Q27" s="41" t="n"/>
      <c r="R27" s="45" t="n"/>
      <c r="S27" s="41" t="n"/>
      <c r="T27" s="41" t="n"/>
      <c r="U27" s="41" t="n"/>
      <c r="V27" s="46" t="n"/>
      <c r="W27" s="44" t="n"/>
      <c r="X27" s="45" t="n"/>
      <c r="Y27" s="41" t="n"/>
      <c r="Z27" s="41" t="n"/>
      <c r="AA27" s="45" t="n"/>
      <c r="AB27" s="41" t="n"/>
      <c r="AC27" s="41" t="n"/>
      <c r="AD27" s="41" t="n"/>
      <c r="AE27" s="46" t="n"/>
      <c r="AF27" s="47">
        <f>IF(AND(ISNUMBER(O27),ISNUMBER(X27)),X27-O27,"")</f>
        <v/>
      </c>
      <c r="AG27" s="48">
        <f>IF(AND(ISNUMBER(O27),ISNUMBER(X27)),IF(O27&lt;&gt;0,(X27-O27)/O27,""),"")</f>
        <v/>
      </c>
      <c r="AH27" s="49">
        <f>IF(AND(ISNUMBER(N27),ISNUMBER(W27)),W27-N27,"")</f>
        <v/>
      </c>
      <c r="AI27" s="50">
        <f>IF(COUNT(R27,Q27,S27,T27)=0,"",IF(ISNUMBER(R27),--(R27&gt;=1.1),0)+IF(AND(ISNUMBER(Q27),ISNUMBER(I27)),--(Q27&gt;=0.95*(220-I27)),0)+IF(ISNUMBER(S27),--(S27&gt;=17),0)+IF(ISNUMBER(T27),--(T27=1),0))</f>
        <v/>
      </c>
      <c r="AJ27" s="50">
        <f>IF(COUNT(AA27,Z27,AB27,AC27)=0,"",IF(ISNUMBER(AA27),--(AA27&gt;=1.1),0)+IF(AND(ISNUMBER(Z27),ISNUMBER(I27)),--(Z27&gt;=0.95*(220-I27)),0)+IF(ISNUMBER(AB27),--(AB27&gt;=17),0)+IF(ISNUMBER(AC27),--(AC27=1),0))</f>
        <v/>
      </c>
      <c r="AK27" s="51">
        <f>IF(A27="","",TRIM(IF(COUNTIF($A$4:$A$33,A27)&gt;1,"ID 중복 ","")&amp;IF(LEN(A27)&lt;&gt;LEN(TRIM(A27)),"ID 앞뒤 공백 ","")&amp;IF(AND(B27&lt;&gt;1,B27&lt;&gt;2),"집단코드 확인 ","")&amp;IF(OR(D27="",AND(D27&lt;&gt;0,D27&lt;&gt;1)),"분석포함 코드 확인(빈칸=제외됨) ","")&amp;IF(AND(ISNUMBER(D27),D27=0,E27=""),"제외 사유 없음 ","")&amp;IF(AND(O27&lt;&gt;"",NOT(ISNUMBER(O27))),"사전VO2 숫자 아님 ","")&amp;IF(AND(X27&lt;&gt;"",NOT(ISNUMBER(X27))),"사후VO2 숫자 아님 ","")&amp;IF(AND(N27&lt;&gt;"",NOT(ISNUMBER(N27))),"사전체중 숫자 아님 ","")&amp;IF(AND(W27&lt;&gt;"",NOT(ISNUMBER(W27))),"사후체중 숫자 아님 ","")&amp;IF(ISNUMBER(O27),IF(OR(O27&lt;25,O27&gt;85),"사전VO2 범위(25–85) 확인 ",""),"")&amp;IF(ISNUMBER(X27),IF(OR(X27&lt;25,X27&gt;85),"사후VO2 범위(25–85) 확인 ",""),"")&amp;IF(AND(ISNUMBER(O27),ISNUMBER(X27)),IF(ABS(X27-O27)&gt;12,"VO2 변화량 12 초과 확인 ",""),"")&amp;IF(AND(ISNUMBER(P27),ISNUMBER(N27),ISNUMBER(O27)),IF(N27&lt;=0,"사전 체중 확인 ",IF(ABS(P27/N27-O27)&gt;0.5,"사전 절대값/체중≠상대값 ","")),"")&amp;IF(AND(ISNUMBER(Y27),ISNUMBER(W27),ISNUMBER(X27)),IF(W27&lt;=0,"사후 체중 확인 ",IF(ABS(Y27/W27-X27)&gt;0.5,"사후 절대값/체중≠상대값 ","")),"")&amp;IF(ISNUMBER(R27),IF(OR(R27&lt;0.85,R27&gt;1.5),"사전 RER 범위 확인 ",""),"")&amp;IF(ISNUMBER(AA27),IF(OR(AA27&lt;0.85,AA27&gt;1.5),"사후 RER 범위 확인 ",""),"")&amp;IF(ISNUMBER(Q27),IF(OR(Q27&lt;150,Q27&gt;225),"사전 최고심박 범위 확인 ",""),"")&amp;IF(ISNUMBER(Z27),IF(OR(Z27&lt;150,Z27&gt;225),"사후 최고심박 범위 확인 ",""),"")&amp;IF(AND(ISNUMBER(U27),ISNUMBER(AI27)),IF(AND(U27=1,AI27&lt;2),"사전 판정충족=1이나 기준 2개 미만 ",""),"")&amp;IF(AND(ISNUMBER(AD27),ISNUMBER(AJ27)),IF(AND(AD27=1,AJ27&lt;2),"사후 판정충족=1이나 기준 2개 미만 ",""),"")&amp;IF(AND(V27&lt;&gt;"",NOT(ISNUMBER(V27))),"사전 검사일 날짜형식 아님 ","")&amp;IF(AND(AE27&lt;&gt;"",NOT(ISNUMBER(AE27))),"사후 검사일 날짜형식 아님 ","")&amp;IF(AND(ISNUMBER(V27),ISNUMBER(AE27)),IF(AE27&lt;=V27,"검사일 역전 ",IF(OR(AE27-V27&lt;77,AE27-V27&gt;126),"사전–사후 간격(11–18주) 확인 ","")),"")&amp;IF(D27=1,IF(OR(NOT(ISNUMBER(O27)),NOT(ISNUMBER(X27))),"분석포함인데 VO2 결측 ",""),"")))</f>
        <v/>
      </c>
    </row>
    <row r="28">
      <c r="A28" s="40" t="n"/>
      <c r="B28" s="41" t="n"/>
      <c r="C28" s="42">
        <f>IF(B28="","",IF(B28=1,"실험군",IF(B28=2,"통제군","코드오류")))</f>
        <v/>
      </c>
      <c r="D28" s="41" t="n"/>
      <c r="E28" s="43" t="n"/>
      <c r="F28" s="43" t="n"/>
      <c r="G28" s="40" t="n"/>
      <c r="H28" s="41" t="n"/>
      <c r="I28" s="41" t="n"/>
      <c r="J28" s="44" t="n"/>
      <c r="K28" s="40" t="n"/>
      <c r="L28" s="44" t="n"/>
      <c r="M28" s="43" t="n"/>
      <c r="N28" s="44" t="n"/>
      <c r="O28" s="45" t="n"/>
      <c r="P28" s="41" t="n"/>
      <c r="Q28" s="41" t="n"/>
      <c r="R28" s="45" t="n"/>
      <c r="S28" s="41" t="n"/>
      <c r="T28" s="41" t="n"/>
      <c r="U28" s="41" t="n"/>
      <c r="V28" s="46" t="n"/>
      <c r="W28" s="44" t="n"/>
      <c r="X28" s="45" t="n"/>
      <c r="Y28" s="41" t="n"/>
      <c r="Z28" s="41" t="n"/>
      <c r="AA28" s="45" t="n"/>
      <c r="AB28" s="41" t="n"/>
      <c r="AC28" s="41" t="n"/>
      <c r="AD28" s="41" t="n"/>
      <c r="AE28" s="46" t="n"/>
      <c r="AF28" s="47">
        <f>IF(AND(ISNUMBER(O28),ISNUMBER(X28)),X28-O28,"")</f>
        <v/>
      </c>
      <c r="AG28" s="48">
        <f>IF(AND(ISNUMBER(O28),ISNUMBER(X28)),IF(O28&lt;&gt;0,(X28-O28)/O28,""),"")</f>
        <v/>
      </c>
      <c r="AH28" s="49">
        <f>IF(AND(ISNUMBER(N28),ISNUMBER(W28)),W28-N28,"")</f>
        <v/>
      </c>
      <c r="AI28" s="50">
        <f>IF(COUNT(R28,Q28,S28,T28)=0,"",IF(ISNUMBER(R28),--(R28&gt;=1.1),0)+IF(AND(ISNUMBER(Q28),ISNUMBER(I28)),--(Q28&gt;=0.95*(220-I28)),0)+IF(ISNUMBER(S28),--(S28&gt;=17),0)+IF(ISNUMBER(T28),--(T28=1),0))</f>
        <v/>
      </c>
      <c r="AJ28" s="50">
        <f>IF(COUNT(AA28,Z28,AB28,AC28)=0,"",IF(ISNUMBER(AA28),--(AA28&gt;=1.1),0)+IF(AND(ISNUMBER(Z28),ISNUMBER(I28)),--(Z28&gt;=0.95*(220-I28)),0)+IF(ISNUMBER(AB28),--(AB28&gt;=17),0)+IF(ISNUMBER(AC28),--(AC28=1),0))</f>
        <v/>
      </c>
      <c r="AK28" s="51">
        <f>IF(A28="","",TRIM(IF(COUNTIF($A$4:$A$33,A28)&gt;1,"ID 중복 ","")&amp;IF(LEN(A28)&lt;&gt;LEN(TRIM(A28)),"ID 앞뒤 공백 ","")&amp;IF(AND(B28&lt;&gt;1,B28&lt;&gt;2),"집단코드 확인 ","")&amp;IF(OR(D28="",AND(D28&lt;&gt;0,D28&lt;&gt;1)),"분석포함 코드 확인(빈칸=제외됨) ","")&amp;IF(AND(ISNUMBER(D28),D28=0,E28=""),"제외 사유 없음 ","")&amp;IF(AND(O28&lt;&gt;"",NOT(ISNUMBER(O28))),"사전VO2 숫자 아님 ","")&amp;IF(AND(X28&lt;&gt;"",NOT(ISNUMBER(X28))),"사후VO2 숫자 아님 ","")&amp;IF(AND(N28&lt;&gt;"",NOT(ISNUMBER(N28))),"사전체중 숫자 아님 ","")&amp;IF(AND(W28&lt;&gt;"",NOT(ISNUMBER(W28))),"사후체중 숫자 아님 ","")&amp;IF(ISNUMBER(O28),IF(OR(O28&lt;25,O28&gt;85),"사전VO2 범위(25–85) 확인 ",""),"")&amp;IF(ISNUMBER(X28),IF(OR(X28&lt;25,X28&gt;85),"사후VO2 범위(25–85) 확인 ",""),"")&amp;IF(AND(ISNUMBER(O28),ISNUMBER(X28)),IF(ABS(X28-O28)&gt;12,"VO2 변화량 12 초과 확인 ",""),"")&amp;IF(AND(ISNUMBER(P28),ISNUMBER(N28),ISNUMBER(O28)),IF(N28&lt;=0,"사전 체중 확인 ",IF(ABS(P28/N28-O28)&gt;0.5,"사전 절대값/체중≠상대값 ","")),"")&amp;IF(AND(ISNUMBER(Y28),ISNUMBER(W28),ISNUMBER(X28)),IF(W28&lt;=0,"사후 체중 확인 ",IF(ABS(Y28/W28-X28)&gt;0.5,"사후 절대값/체중≠상대값 ","")),"")&amp;IF(ISNUMBER(R28),IF(OR(R28&lt;0.85,R28&gt;1.5),"사전 RER 범위 확인 ",""),"")&amp;IF(ISNUMBER(AA28),IF(OR(AA28&lt;0.85,AA28&gt;1.5),"사후 RER 범위 확인 ",""),"")&amp;IF(ISNUMBER(Q28),IF(OR(Q28&lt;150,Q28&gt;225),"사전 최고심박 범위 확인 ",""),"")&amp;IF(ISNUMBER(Z28),IF(OR(Z28&lt;150,Z28&gt;225),"사후 최고심박 범위 확인 ",""),"")&amp;IF(AND(ISNUMBER(U28),ISNUMBER(AI28)),IF(AND(U28=1,AI28&lt;2),"사전 판정충족=1이나 기준 2개 미만 ",""),"")&amp;IF(AND(ISNUMBER(AD28),ISNUMBER(AJ28)),IF(AND(AD28=1,AJ28&lt;2),"사후 판정충족=1이나 기준 2개 미만 ",""),"")&amp;IF(AND(V28&lt;&gt;"",NOT(ISNUMBER(V28))),"사전 검사일 날짜형식 아님 ","")&amp;IF(AND(AE28&lt;&gt;"",NOT(ISNUMBER(AE28))),"사후 검사일 날짜형식 아님 ","")&amp;IF(AND(ISNUMBER(V28),ISNUMBER(AE28)),IF(AE28&lt;=V28,"검사일 역전 ",IF(OR(AE28-V28&lt;77,AE28-V28&gt;126),"사전–사후 간격(11–18주) 확인 ","")),"")&amp;IF(D28=1,IF(OR(NOT(ISNUMBER(O28)),NOT(ISNUMBER(X28))),"분석포함인데 VO2 결측 ",""),"")))</f>
        <v/>
      </c>
    </row>
    <row r="29">
      <c r="A29" s="40" t="n"/>
      <c r="B29" s="41" t="n"/>
      <c r="C29" s="42">
        <f>IF(B29="","",IF(B29=1,"실험군",IF(B29=2,"통제군","코드오류")))</f>
        <v/>
      </c>
      <c r="D29" s="41" t="n"/>
      <c r="E29" s="43" t="n"/>
      <c r="F29" s="43" t="n"/>
      <c r="G29" s="40" t="n"/>
      <c r="H29" s="41" t="n"/>
      <c r="I29" s="41" t="n"/>
      <c r="J29" s="44" t="n"/>
      <c r="K29" s="40" t="n"/>
      <c r="L29" s="44" t="n"/>
      <c r="M29" s="43" t="n"/>
      <c r="N29" s="44" t="n"/>
      <c r="O29" s="45" t="n"/>
      <c r="P29" s="41" t="n"/>
      <c r="Q29" s="41" t="n"/>
      <c r="R29" s="45" t="n"/>
      <c r="S29" s="41" t="n"/>
      <c r="T29" s="41" t="n"/>
      <c r="U29" s="41" t="n"/>
      <c r="V29" s="46" t="n"/>
      <c r="W29" s="44" t="n"/>
      <c r="X29" s="45" t="n"/>
      <c r="Y29" s="41" t="n"/>
      <c r="Z29" s="41" t="n"/>
      <c r="AA29" s="45" t="n"/>
      <c r="AB29" s="41" t="n"/>
      <c r="AC29" s="41" t="n"/>
      <c r="AD29" s="41" t="n"/>
      <c r="AE29" s="46" t="n"/>
      <c r="AF29" s="47">
        <f>IF(AND(ISNUMBER(O29),ISNUMBER(X29)),X29-O29,"")</f>
        <v/>
      </c>
      <c r="AG29" s="48">
        <f>IF(AND(ISNUMBER(O29),ISNUMBER(X29)),IF(O29&lt;&gt;0,(X29-O29)/O29,""),"")</f>
        <v/>
      </c>
      <c r="AH29" s="49">
        <f>IF(AND(ISNUMBER(N29),ISNUMBER(W29)),W29-N29,"")</f>
        <v/>
      </c>
      <c r="AI29" s="50">
        <f>IF(COUNT(R29,Q29,S29,T29)=0,"",IF(ISNUMBER(R29),--(R29&gt;=1.1),0)+IF(AND(ISNUMBER(Q29),ISNUMBER(I29)),--(Q29&gt;=0.95*(220-I29)),0)+IF(ISNUMBER(S29),--(S29&gt;=17),0)+IF(ISNUMBER(T29),--(T29=1),0))</f>
        <v/>
      </c>
      <c r="AJ29" s="50">
        <f>IF(COUNT(AA29,Z29,AB29,AC29)=0,"",IF(ISNUMBER(AA29),--(AA29&gt;=1.1),0)+IF(AND(ISNUMBER(Z29),ISNUMBER(I29)),--(Z29&gt;=0.95*(220-I29)),0)+IF(ISNUMBER(AB29),--(AB29&gt;=17),0)+IF(ISNUMBER(AC29),--(AC29=1),0))</f>
        <v/>
      </c>
      <c r="AK29" s="51">
        <f>IF(A29="","",TRIM(IF(COUNTIF($A$4:$A$33,A29)&gt;1,"ID 중복 ","")&amp;IF(LEN(A29)&lt;&gt;LEN(TRIM(A29)),"ID 앞뒤 공백 ","")&amp;IF(AND(B29&lt;&gt;1,B29&lt;&gt;2),"집단코드 확인 ","")&amp;IF(OR(D29="",AND(D29&lt;&gt;0,D29&lt;&gt;1)),"분석포함 코드 확인(빈칸=제외됨) ","")&amp;IF(AND(ISNUMBER(D29),D29=0,E29=""),"제외 사유 없음 ","")&amp;IF(AND(O29&lt;&gt;"",NOT(ISNUMBER(O29))),"사전VO2 숫자 아님 ","")&amp;IF(AND(X29&lt;&gt;"",NOT(ISNUMBER(X29))),"사후VO2 숫자 아님 ","")&amp;IF(AND(N29&lt;&gt;"",NOT(ISNUMBER(N29))),"사전체중 숫자 아님 ","")&amp;IF(AND(W29&lt;&gt;"",NOT(ISNUMBER(W29))),"사후체중 숫자 아님 ","")&amp;IF(ISNUMBER(O29),IF(OR(O29&lt;25,O29&gt;85),"사전VO2 범위(25–85) 확인 ",""),"")&amp;IF(ISNUMBER(X29),IF(OR(X29&lt;25,X29&gt;85),"사후VO2 범위(25–85) 확인 ",""),"")&amp;IF(AND(ISNUMBER(O29),ISNUMBER(X29)),IF(ABS(X29-O29)&gt;12,"VO2 변화량 12 초과 확인 ",""),"")&amp;IF(AND(ISNUMBER(P29),ISNUMBER(N29),ISNUMBER(O29)),IF(N29&lt;=0,"사전 체중 확인 ",IF(ABS(P29/N29-O29)&gt;0.5,"사전 절대값/체중≠상대값 ","")),"")&amp;IF(AND(ISNUMBER(Y29),ISNUMBER(W29),ISNUMBER(X29)),IF(W29&lt;=0,"사후 체중 확인 ",IF(ABS(Y29/W29-X29)&gt;0.5,"사후 절대값/체중≠상대값 ","")),"")&amp;IF(ISNUMBER(R29),IF(OR(R29&lt;0.85,R29&gt;1.5),"사전 RER 범위 확인 ",""),"")&amp;IF(ISNUMBER(AA29),IF(OR(AA29&lt;0.85,AA29&gt;1.5),"사후 RER 범위 확인 ",""),"")&amp;IF(ISNUMBER(Q29),IF(OR(Q29&lt;150,Q29&gt;225),"사전 최고심박 범위 확인 ",""),"")&amp;IF(ISNUMBER(Z29),IF(OR(Z29&lt;150,Z29&gt;225),"사후 최고심박 범위 확인 ",""),"")&amp;IF(AND(ISNUMBER(U29),ISNUMBER(AI29)),IF(AND(U29=1,AI29&lt;2),"사전 판정충족=1이나 기준 2개 미만 ",""),"")&amp;IF(AND(ISNUMBER(AD29),ISNUMBER(AJ29)),IF(AND(AD29=1,AJ29&lt;2),"사후 판정충족=1이나 기준 2개 미만 ",""),"")&amp;IF(AND(V29&lt;&gt;"",NOT(ISNUMBER(V29))),"사전 검사일 날짜형식 아님 ","")&amp;IF(AND(AE29&lt;&gt;"",NOT(ISNUMBER(AE29))),"사후 검사일 날짜형식 아님 ","")&amp;IF(AND(ISNUMBER(V29),ISNUMBER(AE29)),IF(AE29&lt;=V29,"검사일 역전 ",IF(OR(AE29-V29&lt;77,AE29-V29&gt;126),"사전–사후 간격(11–18주) 확인 ","")),"")&amp;IF(D29=1,IF(OR(NOT(ISNUMBER(O29)),NOT(ISNUMBER(X29))),"분석포함인데 VO2 결측 ",""),"")))</f>
        <v/>
      </c>
    </row>
    <row r="30">
      <c r="A30" s="40" t="n"/>
      <c r="B30" s="41" t="n"/>
      <c r="C30" s="42">
        <f>IF(B30="","",IF(B30=1,"실험군",IF(B30=2,"통제군","코드오류")))</f>
        <v/>
      </c>
      <c r="D30" s="41" t="n"/>
      <c r="E30" s="43" t="n"/>
      <c r="F30" s="43" t="n"/>
      <c r="G30" s="40" t="n"/>
      <c r="H30" s="41" t="n"/>
      <c r="I30" s="41" t="n"/>
      <c r="J30" s="44" t="n"/>
      <c r="K30" s="40" t="n"/>
      <c r="L30" s="44" t="n"/>
      <c r="M30" s="43" t="n"/>
      <c r="N30" s="44" t="n"/>
      <c r="O30" s="45" t="n"/>
      <c r="P30" s="41" t="n"/>
      <c r="Q30" s="41" t="n"/>
      <c r="R30" s="45" t="n"/>
      <c r="S30" s="41" t="n"/>
      <c r="T30" s="41" t="n"/>
      <c r="U30" s="41" t="n"/>
      <c r="V30" s="46" t="n"/>
      <c r="W30" s="44" t="n"/>
      <c r="X30" s="45" t="n"/>
      <c r="Y30" s="41" t="n"/>
      <c r="Z30" s="41" t="n"/>
      <c r="AA30" s="45" t="n"/>
      <c r="AB30" s="41" t="n"/>
      <c r="AC30" s="41" t="n"/>
      <c r="AD30" s="41" t="n"/>
      <c r="AE30" s="46" t="n"/>
      <c r="AF30" s="47">
        <f>IF(AND(ISNUMBER(O30),ISNUMBER(X30)),X30-O30,"")</f>
        <v/>
      </c>
      <c r="AG30" s="48">
        <f>IF(AND(ISNUMBER(O30),ISNUMBER(X30)),IF(O30&lt;&gt;0,(X30-O30)/O30,""),"")</f>
        <v/>
      </c>
      <c r="AH30" s="49">
        <f>IF(AND(ISNUMBER(N30),ISNUMBER(W30)),W30-N30,"")</f>
        <v/>
      </c>
      <c r="AI30" s="50">
        <f>IF(COUNT(R30,Q30,S30,T30)=0,"",IF(ISNUMBER(R30),--(R30&gt;=1.1),0)+IF(AND(ISNUMBER(Q30),ISNUMBER(I30)),--(Q30&gt;=0.95*(220-I30)),0)+IF(ISNUMBER(S30),--(S30&gt;=17),0)+IF(ISNUMBER(T30),--(T30=1),0))</f>
        <v/>
      </c>
      <c r="AJ30" s="50">
        <f>IF(COUNT(AA30,Z30,AB30,AC30)=0,"",IF(ISNUMBER(AA30),--(AA30&gt;=1.1),0)+IF(AND(ISNUMBER(Z30),ISNUMBER(I30)),--(Z30&gt;=0.95*(220-I30)),0)+IF(ISNUMBER(AB30),--(AB30&gt;=17),0)+IF(ISNUMBER(AC30),--(AC30=1),0))</f>
        <v/>
      </c>
      <c r="AK30" s="51">
        <f>IF(A30="","",TRIM(IF(COUNTIF($A$4:$A$33,A30)&gt;1,"ID 중복 ","")&amp;IF(LEN(A30)&lt;&gt;LEN(TRIM(A30)),"ID 앞뒤 공백 ","")&amp;IF(AND(B30&lt;&gt;1,B30&lt;&gt;2),"집단코드 확인 ","")&amp;IF(OR(D30="",AND(D30&lt;&gt;0,D30&lt;&gt;1)),"분석포함 코드 확인(빈칸=제외됨) ","")&amp;IF(AND(ISNUMBER(D30),D30=0,E30=""),"제외 사유 없음 ","")&amp;IF(AND(O30&lt;&gt;"",NOT(ISNUMBER(O30))),"사전VO2 숫자 아님 ","")&amp;IF(AND(X30&lt;&gt;"",NOT(ISNUMBER(X30))),"사후VO2 숫자 아님 ","")&amp;IF(AND(N30&lt;&gt;"",NOT(ISNUMBER(N30))),"사전체중 숫자 아님 ","")&amp;IF(AND(W30&lt;&gt;"",NOT(ISNUMBER(W30))),"사후체중 숫자 아님 ","")&amp;IF(ISNUMBER(O30),IF(OR(O30&lt;25,O30&gt;85),"사전VO2 범위(25–85) 확인 ",""),"")&amp;IF(ISNUMBER(X30),IF(OR(X30&lt;25,X30&gt;85),"사후VO2 범위(25–85) 확인 ",""),"")&amp;IF(AND(ISNUMBER(O30),ISNUMBER(X30)),IF(ABS(X30-O30)&gt;12,"VO2 변화량 12 초과 확인 ",""),"")&amp;IF(AND(ISNUMBER(P30),ISNUMBER(N30),ISNUMBER(O30)),IF(N30&lt;=0,"사전 체중 확인 ",IF(ABS(P30/N30-O30)&gt;0.5,"사전 절대값/체중≠상대값 ","")),"")&amp;IF(AND(ISNUMBER(Y30),ISNUMBER(W30),ISNUMBER(X30)),IF(W30&lt;=0,"사후 체중 확인 ",IF(ABS(Y30/W30-X30)&gt;0.5,"사후 절대값/체중≠상대값 ","")),"")&amp;IF(ISNUMBER(R30),IF(OR(R30&lt;0.85,R30&gt;1.5),"사전 RER 범위 확인 ",""),"")&amp;IF(ISNUMBER(AA30),IF(OR(AA30&lt;0.85,AA30&gt;1.5),"사후 RER 범위 확인 ",""),"")&amp;IF(ISNUMBER(Q30),IF(OR(Q30&lt;150,Q30&gt;225),"사전 최고심박 범위 확인 ",""),"")&amp;IF(ISNUMBER(Z30),IF(OR(Z30&lt;150,Z30&gt;225),"사후 최고심박 범위 확인 ",""),"")&amp;IF(AND(ISNUMBER(U30),ISNUMBER(AI30)),IF(AND(U30=1,AI30&lt;2),"사전 판정충족=1이나 기준 2개 미만 ",""),"")&amp;IF(AND(ISNUMBER(AD30),ISNUMBER(AJ30)),IF(AND(AD30=1,AJ30&lt;2),"사후 판정충족=1이나 기준 2개 미만 ",""),"")&amp;IF(AND(V30&lt;&gt;"",NOT(ISNUMBER(V30))),"사전 검사일 날짜형식 아님 ","")&amp;IF(AND(AE30&lt;&gt;"",NOT(ISNUMBER(AE30))),"사후 검사일 날짜형식 아님 ","")&amp;IF(AND(ISNUMBER(V30),ISNUMBER(AE30)),IF(AE30&lt;=V30,"검사일 역전 ",IF(OR(AE30-V30&lt;77,AE30-V30&gt;126),"사전–사후 간격(11–18주) 확인 ","")),"")&amp;IF(D30=1,IF(OR(NOT(ISNUMBER(O30)),NOT(ISNUMBER(X30))),"분석포함인데 VO2 결측 ",""),"")))</f>
        <v/>
      </c>
    </row>
    <row r="31">
      <c r="A31" s="40" t="n"/>
      <c r="B31" s="41" t="n"/>
      <c r="C31" s="42">
        <f>IF(B31="","",IF(B31=1,"실험군",IF(B31=2,"통제군","코드오류")))</f>
        <v/>
      </c>
      <c r="D31" s="41" t="n"/>
      <c r="E31" s="43" t="n"/>
      <c r="F31" s="43" t="n"/>
      <c r="G31" s="40" t="n"/>
      <c r="H31" s="41" t="n"/>
      <c r="I31" s="41" t="n"/>
      <c r="J31" s="44" t="n"/>
      <c r="K31" s="40" t="n"/>
      <c r="L31" s="44" t="n"/>
      <c r="M31" s="43" t="n"/>
      <c r="N31" s="44" t="n"/>
      <c r="O31" s="45" t="n"/>
      <c r="P31" s="41" t="n"/>
      <c r="Q31" s="41" t="n"/>
      <c r="R31" s="45" t="n"/>
      <c r="S31" s="41" t="n"/>
      <c r="T31" s="41" t="n"/>
      <c r="U31" s="41" t="n"/>
      <c r="V31" s="46" t="n"/>
      <c r="W31" s="44" t="n"/>
      <c r="X31" s="45" t="n"/>
      <c r="Y31" s="41" t="n"/>
      <c r="Z31" s="41" t="n"/>
      <c r="AA31" s="45" t="n"/>
      <c r="AB31" s="41" t="n"/>
      <c r="AC31" s="41" t="n"/>
      <c r="AD31" s="41" t="n"/>
      <c r="AE31" s="46" t="n"/>
      <c r="AF31" s="47">
        <f>IF(AND(ISNUMBER(O31),ISNUMBER(X31)),X31-O31,"")</f>
        <v/>
      </c>
      <c r="AG31" s="48">
        <f>IF(AND(ISNUMBER(O31),ISNUMBER(X31)),IF(O31&lt;&gt;0,(X31-O31)/O31,""),"")</f>
        <v/>
      </c>
      <c r="AH31" s="49">
        <f>IF(AND(ISNUMBER(N31),ISNUMBER(W31)),W31-N31,"")</f>
        <v/>
      </c>
      <c r="AI31" s="50">
        <f>IF(COUNT(R31,Q31,S31,T31)=0,"",IF(ISNUMBER(R31),--(R31&gt;=1.1),0)+IF(AND(ISNUMBER(Q31),ISNUMBER(I31)),--(Q31&gt;=0.95*(220-I31)),0)+IF(ISNUMBER(S31),--(S31&gt;=17),0)+IF(ISNUMBER(T31),--(T31=1),0))</f>
        <v/>
      </c>
      <c r="AJ31" s="50">
        <f>IF(COUNT(AA31,Z31,AB31,AC31)=0,"",IF(ISNUMBER(AA31),--(AA31&gt;=1.1),0)+IF(AND(ISNUMBER(Z31),ISNUMBER(I31)),--(Z31&gt;=0.95*(220-I31)),0)+IF(ISNUMBER(AB31),--(AB31&gt;=17),0)+IF(ISNUMBER(AC31),--(AC31=1),0))</f>
        <v/>
      </c>
      <c r="AK31" s="51">
        <f>IF(A31="","",TRIM(IF(COUNTIF($A$4:$A$33,A31)&gt;1,"ID 중복 ","")&amp;IF(LEN(A31)&lt;&gt;LEN(TRIM(A31)),"ID 앞뒤 공백 ","")&amp;IF(AND(B31&lt;&gt;1,B31&lt;&gt;2),"집단코드 확인 ","")&amp;IF(OR(D31="",AND(D31&lt;&gt;0,D31&lt;&gt;1)),"분석포함 코드 확인(빈칸=제외됨) ","")&amp;IF(AND(ISNUMBER(D31),D31=0,E31=""),"제외 사유 없음 ","")&amp;IF(AND(O31&lt;&gt;"",NOT(ISNUMBER(O31))),"사전VO2 숫자 아님 ","")&amp;IF(AND(X31&lt;&gt;"",NOT(ISNUMBER(X31))),"사후VO2 숫자 아님 ","")&amp;IF(AND(N31&lt;&gt;"",NOT(ISNUMBER(N31))),"사전체중 숫자 아님 ","")&amp;IF(AND(W31&lt;&gt;"",NOT(ISNUMBER(W31))),"사후체중 숫자 아님 ","")&amp;IF(ISNUMBER(O31),IF(OR(O31&lt;25,O31&gt;85),"사전VO2 범위(25–85) 확인 ",""),"")&amp;IF(ISNUMBER(X31),IF(OR(X31&lt;25,X31&gt;85),"사후VO2 범위(25–85) 확인 ",""),"")&amp;IF(AND(ISNUMBER(O31),ISNUMBER(X31)),IF(ABS(X31-O31)&gt;12,"VO2 변화량 12 초과 확인 ",""),"")&amp;IF(AND(ISNUMBER(P31),ISNUMBER(N31),ISNUMBER(O31)),IF(N31&lt;=0,"사전 체중 확인 ",IF(ABS(P31/N31-O31)&gt;0.5,"사전 절대값/체중≠상대값 ","")),"")&amp;IF(AND(ISNUMBER(Y31),ISNUMBER(W31),ISNUMBER(X31)),IF(W31&lt;=0,"사후 체중 확인 ",IF(ABS(Y31/W31-X31)&gt;0.5,"사후 절대값/체중≠상대값 ","")),"")&amp;IF(ISNUMBER(R31),IF(OR(R31&lt;0.85,R31&gt;1.5),"사전 RER 범위 확인 ",""),"")&amp;IF(ISNUMBER(AA31),IF(OR(AA31&lt;0.85,AA31&gt;1.5),"사후 RER 범위 확인 ",""),"")&amp;IF(ISNUMBER(Q31),IF(OR(Q31&lt;150,Q31&gt;225),"사전 최고심박 범위 확인 ",""),"")&amp;IF(ISNUMBER(Z31),IF(OR(Z31&lt;150,Z31&gt;225),"사후 최고심박 범위 확인 ",""),"")&amp;IF(AND(ISNUMBER(U31),ISNUMBER(AI31)),IF(AND(U31=1,AI31&lt;2),"사전 판정충족=1이나 기준 2개 미만 ",""),"")&amp;IF(AND(ISNUMBER(AD31),ISNUMBER(AJ31)),IF(AND(AD31=1,AJ31&lt;2),"사후 판정충족=1이나 기준 2개 미만 ",""),"")&amp;IF(AND(V31&lt;&gt;"",NOT(ISNUMBER(V31))),"사전 검사일 날짜형식 아님 ","")&amp;IF(AND(AE31&lt;&gt;"",NOT(ISNUMBER(AE31))),"사후 검사일 날짜형식 아님 ","")&amp;IF(AND(ISNUMBER(V31),ISNUMBER(AE31)),IF(AE31&lt;=V31,"검사일 역전 ",IF(OR(AE31-V31&lt;77,AE31-V31&gt;126),"사전–사후 간격(11–18주) 확인 ","")),"")&amp;IF(D31=1,IF(OR(NOT(ISNUMBER(O31)),NOT(ISNUMBER(X31))),"분석포함인데 VO2 결측 ",""),"")))</f>
        <v/>
      </c>
    </row>
    <row r="32">
      <c r="A32" s="40" t="n"/>
      <c r="B32" s="41" t="n"/>
      <c r="C32" s="42">
        <f>IF(B32="","",IF(B32=1,"실험군",IF(B32=2,"통제군","코드오류")))</f>
        <v/>
      </c>
      <c r="D32" s="41" t="n"/>
      <c r="E32" s="43" t="n"/>
      <c r="F32" s="43" t="n"/>
      <c r="G32" s="40" t="n"/>
      <c r="H32" s="41" t="n"/>
      <c r="I32" s="41" t="n"/>
      <c r="J32" s="44" t="n"/>
      <c r="K32" s="40" t="n"/>
      <c r="L32" s="44" t="n"/>
      <c r="M32" s="43" t="n"/>
      <c r="N32" s="44" t="n"/>
      <c r="O32" s="45" t="n"/>
      <c r="P32" s="41" t="n"/>
      <c r="Q32" s="41" t="n"/>
      <c r="R32" s="45" t="n"/>
      <c r="S32" s="41" t="n"/>
      <c r="T32" s="41" t="n"/>
      <c r="U32" s="41" t="n"/>
      <c r="V32" s="46" t="n"/>
      <c r="W32" s="44" t="n"/>
      <c r="X32" s="45" t="n"/>
      <c r="Y32" s="41" t="n"/>
      <c r="Z32" s="41" t="n"/>
      <c r="AA32" s="45" t="n"/>
      <c r="AB32" s="41" t="n"/>
      <c r="AC32" s="41" t="n"/>
      <c r="AD32" s="41" t="n"/>
      <c r="AE32" s="46" t="n"/>
      <c r="AF32" s="47">
        <f>IF(AND(ISNUMBER(O32),ISNUMBER(X32)),X32-O32,"")</f>
        <v/>
      </c>
      <c r="AG32" s="48">
        <f>IF(AND(ISNUMBER(O32),ISNUMBER(X32)),IF(O32&lt;&gt;0,(X32-O32)/O32,""),"")</f>
        <v/>
      </c>
      <c r="AH32" s="49">
        <f>IF(AND(ISNUMBER(N32),ISNUMBER(W32)),W32-N32,"")</f>
        <v/>
      </c>
      <c r="AI32" s="50">
        <f>IF(COUNT(R32,Q32,S32,T32)=0,"",IF(ISNUMBER(R32),--(R32&gt;=1.1),0)+IF(AND(ISNUMBER(Q32),ISNUMBER(I32)),--(Q32&gt;=0.95*(220-I32)),0)+IF(ISNUMBER(S32),--(S32&gt;=17),0)+IF(ISNUMBER(T32),--(T32=1),0))</f>
        <v/>
      </c>
      <c r="AJ32" s="50">
        <f>IF(COUNT(AA32,Z32,AB32,AC32)=0,"",IF(ISNUMBER(AA32),--(AA32&gt;=1.1),0)+IF(AND(ISNUMBER(Z32),ISNUMBER(I32)),--(Z32&gt;=0.95*(220-I32)),0)+IF(ISNUMBER(AB32),--(AB32&gt;=17),0)+IF(ISNUMBER(AC32),--(AC32=1),0))</f>
        <v/>
      </c>
      <c r="AK32" s="51">
        <f>IF(A32="","",TRIM(IF(COUNTIF($A$4:$A$33,A32)&gt;1,"ID 중복 ","")&amp;IF(LEN(A32)&lt;&gt;LEN(TRIM(A32)),"ID 앞뒤 공백 ","")&amp;IF(AND(B32&lt;&gt;1,B32&lt;&gt;2),"집단코드 확인 ","")&amp;IF(OR(D32="",AND(D32&lt;&gt;0,D32&lt;&gt;1)),"분석포함 코드 확인(빈칸=제외됨) ","")&amp;IF(AND(ISNUMBER(D32),D32=0,E32=""),"제외 사유 없음 ","")&amp;IF(AND(O32&lt;&gt;"",NOT(ISNUMBER(O32))),"사전VO2 숫자 아님 ","")&amp;IF(AND(X32&lt;&gt;"",NOT(ISNUMBER(X32))),"사후VO2 숫자 아님 ","")&amp;IF(AND(N32&lt;&gt;"",NOT(ISNUMBER(N32))),"사전체중 숫자 아님 ","")&amp;IF(AND(W32&lt;&gt;"",NOT(ISNUMBER(W32))),"사후체중 숫자 아님 ","")&amp;IF(ISNUMBER(O32),IF(OR(O32&lt;25,O32&gt;85),"사전VO2 범위(25–85) 확인 ",""),"")&amp;IF(ISNUMBER(X32),IF(OR(X32&lt;25,X32&gt;85),"사후VO2 범위(25–85) 확인 ",""),"")&amp;IF(AND(ISNUMBER(O32),ISNUMBER(X32)),IF(ABS(X32-O32)&gt;12,"VO2 변화량 12 초과 확인 ",""),"")&amp;IF(AND(ISNUMBER(P32),ISNUMBER(N32),ISNUMBER(O32)),IF(N32&lt;=0,"사전 체중 확인 ",IF(ABS(P32/N32-O32)&gt;0.5,"사전 절대값/체중≠상대값 ","")),"")&amp;IF(AND(ISNUMBER(Y32),ISNUMBER(W32),ISNUMBER(X32)),IF(W32&lt;=0,"사후 체중 확인 ",IF(ABS(Y32/W32-X32)&gt;0.5,"사후 절대값/체중≠상대값 ","")),"")&amp;IF(ISNUMBER(R32),IF(OR(R32&lt;0.85,R32&gt;1.5),"사전 RER 범위 확인 ",""),"")&amp;IF(ISNUMBER(AA32),IF(OR(AA32&lt;0.85,AA32&gt;1.5),"사후 RER 범위 확인 ",""),"")&amp;IF(ISNUMBER(Q32),IF(OR(Q32&lt;150,Q32&gt;225),"사전 최고심박 범위 확인 ",""),"")&amp;IF(ISNUMBER(Z32),IF(OR(Z32&lt;150,Z32&gt;225),"사후 최고심박 범위 확인 ",""),"")&amp;IF(AND(ISNUMBER(U32),ISNUMBER(AI32)),IF(AND(U32=1,AI32&lt;2),"사전 판정충족=1이나 기준 2개 미만 ",""),"")&amp;IF(AND(ISNUMBER(AD32),ISNUMBER(AJ32)),IF(AND(AD32=1,AJ32&lt;2),"사후 판정충족=1이나 기준 2개 미만 ",""),"")&amp;IF(AND(V32&lt;&gt;"",NOT(ISNUMBER(V32))),"사전 검사일 날짜형식 아님 ","")&amp;IF(AND(AE32&lt;&gt;"",NOT(ISNUMBER(AE32))),"사후 검사일 날짜형식 아님 ","")&amp;IF(AND(ISNUMBER(V32),ISNUMBER(AE32)),IF(AE32&lt;=V32,"검사일 역전 ",IF(OR(AE32-V32&lt;77,AE32-V32&gt;126),"사전–사후 간격(11–18주) 확인 ","")),"")&amp;IF(D32=1,IF(OR(NOT(ISNUMBER(O32)),NOT(ISNUMBER(X32))),"분석포함인데 VO2 결측 ",""),"")))</f>
        <v/>
      </c>
    </row>
    <row r="33">
      <c r="A33" s="40" t="n"/>
      <c r="B33" s="41" t="n"/>
      <c r="C33" s="42">
        <f>IF(B33="","",IF(B33=1,"실험군",IF(B33=2,"통제군","코드오류")))</f>
        <v/>
      </c>
      <c r="D33" s="41" t="n"/>
      <c r="E33" s="43" t="n"/>
      <c r="F33" s="43" t="n"/>
      <c r="G33" s="40" t="n"/>
      <c r="H33" s="41" t="n"/>
      <c r="I33" s="41" t="n"/>
      <c r="J33" s="44" t="n"/>
      <c r="K33" s="40" t="n"/>
      <c r="L33" s="44" t="n"/>
      <c r="M33" s="43" t="n"/>
      <c r="N33" s="44" t="n"/>
      <c r="O33" s="45" t="n"/>
      <c r="P33" s="41" t="n"/>
      <c r="Q33" s="41" t="n"/>
      <c r="R33" s="45" t="n"/>
      <c r="S33" s="41" t="n"/>
      <c r="T33" s="41" t="n"/>
      <c r="U33" s="41" t="n"/>
      <c r="V33" s="46" t="n"/>
      <c r="W33" s="44" t="n"/>
      <c r="X33" s="45" t="n"/>
      <c r="Y33" s="41" t="n"/>
      <c r="Z33" s="41" t="n"/>
      <c r="AA33" s="45" t="n"/>
      <c r="AB33" s="41" t="n"/>
      <c r="AC33" s="41" t="n"/>
      <c r="AD33" s="41" t="n"/>
      <c r="AE33" s="46" t="n"/>
      <c r="AF33" s="47">
        <f>IF(AND(ISNUMBER(O33),ISNUMBER(X33)),X33-O33,"")</f>
        <v/>
      </c>
      <c r="AG33" s="48">
        <f>IF(AND(ISNUMBER(O33),ISNUMBER(X33)),IF(O33&lt;&gt;0,(X33-O33)/O33,""),"")</f>
        <v/>
      </c>
      <c r="AH33" s="49">
        <f>IF(AND(ISNUMBER(N33),ISNUMBER(W33)),W33-N33,"")</f>
        <v/>
      </c>
      <c r="AI33" s="50">
        <f>IF(COUNT(R33,Q33,S33,T33)=0,"",IF(ISNUMBER(R33),--(R33&gt;=1.1),0)+IF(AND(ISNUMBER(Q33),ISNUMBER(I33)),--(Q33&gt;=0.95*(220-I33)),0)+IF(ISNUMBER(S33),--(S33&gt;=17),0)+IF(ISNUMBER(T33),--(T33=1),0))</f>
        <v/>
      </c>
      <c r="AJ33" s="50">
        <f>IF(COUNT(AA33,Z33,AB33,AC33)=0,"",IF(ISNUMBER(AA33),--(AA33&gt;=1.1),0)+IF(AND(ISNUMBER(Z33),ISNUMBER(I33)),--(Z33&gt;=0.95*(220-I33)),0)+IF(ISNUMBER(AB33),--(AB33&gt;=17),0)+IF(ISNUMBER(AC33),--(AC33=1),0))</f>
        <v/>
      </c>
      <c r="AK33" s="51">
        <f>IF(A33="","",TRIM(IF(COUNTIF($A$4:$A$33,A33)&gt;1,"ID 중복 ","")&amp;IF(LEN(A33)&lt;&gt;LEN(TRIM(A33)),"ID 앞뒤 공백 ","")&amp;IF(AND(B33&lt;&gt;1,B33&lt;&gt;2),"집단코드 확인 ","")&amp;IF(OR(D33="",AND(D33&lt;&gt;0,D33&lt;&gt;1)),"분석포함 코드 확인(빈칸=제외됨) ","")&amp;IF(AND(ISNUMBER(D33),D33=0,E33=""),"제외 사유 없음 ","")&amp;IF(AND(O33&lt;&gt;"",NOT(ISNUMBER(O33))),"사전VO2 숫자 아님 ","")&amp;IF(AND(X33&lt;&gt;"",NOT(ISNUMBER(X33))),"사후VO2 숫자 아님 ","")&amp;IF(AND(N33&lt;&gt;"",NOT(ISNUMBER(N33))),"사전체중 숫자 아님 ","")&amp;IF(AND(W33&lt;&gt;"",NOT(ISNUMBER(W33))),"사후체중 숫자 아님 ","")&amp;IF(ISNUMBER(O33),IF(OR(O33&lt;25,O33&gt;85),"사전VO2 범위(25–85) 확인 ",""),"")&amp;IF(ISNUMBER(X33),IF(OR(X33&lt;25,X33&gt;85),"사후VO2 범위(25–85) 확인 ",""),"")&amp;IF(AND(ISNUMBER(O33),ISNUMBER(X33)),IF(ABS(X33-O33)&gt;12,"VO2 변화량 12 초과 확인 ",""),"")&amp;IF(AND(ISNUMBER(P33),ISNUMBER(N33),ISNUMBER(O33)),IF(N33&lt;=0,"사전 체중 확인 ",IF(ABS(P33/N33-O33)&gt;0.5,"사전 절대값/체중≠상대값 ","")),"")&amp;IF(AND(ISNUMBER(Y33),ISNUMBER(W33),ISNUMBER(X33)),IF(W33&lt;=0,"사후 체중 확인 ",IF(ABS(Y33/W33-X33)&gt;0.5,"사후 절대값/체중≠상대값 ","")),"")&amp;IF(ISNUMBER(R33),IF(OR(R33&lt;0.85,R33&gt;1.5),"사전 RER 범위 확인 ",""),"")&amp;IF(ISNUMBER(AA33),IF(OR(AA33&lt;0.85,AA33&gt;1.5),"사후 RER 범위 확인 ",""),"")&amp;IF(ISNUMBER(Q33),IF(OR(Q33&lt;150,Q33&gt;225),"사전 최고심박 범위 확인 ",""),"")&amp;IF(ISNUMBER(Z33),IF(OR(Z33&lt;150,Z33&gt;225),"사후 최고심박 범위 확인 ",""),"")&amp;IF(AND(ISNUMBER(U33),ISNUMBER(AI33)),IF(AND(U33=1,AI33&lt;2),"사전 판정충족=1이나 기준 2개 미만 ",""),"")&amp;IF(AND(ISNUMBER(AD33),ISNUMBER(AJ33)),IF(AND(AD33=1,AJ33&lt;2),"사후 판정충족=1이나 기준 2개 미만 ",""),"")&amp;IF(AND(V33&lt;&gt;"",NOT(ISNUMBER(V33))),"사전 검사일 날짜형식 아님 ","")&amp;IF(AND(AE33&lt;&gt;"",NOT(ISNUMBER(AE33))),"사후 검사일 날짜형식 아님 ","")&amp;IF(AND(ISNUMBER(V33),ISNUMBER(AE33)),IF(AE33&lt;=V33,"검사일 역전 ",IF(OR(AE33-V33&lt;77,AE33-V33&gt;126),"사전–사후 간격(11–18주) 확인 ","")),"")&amp;IF(D33=1,IF(OR(NOT(ISNUMBER(O33)),NOT(ISNUMBER(X33))),"분석포함인데 VO2 결측 ",""),"")))</f>
        <v/>
      </c>
    </row>
  </sheetData>
  <conditionalFormatting sqref="AK4:AK33">
    <cfRule type="expression" priority="1" dxfId="0">
      <formula>LEN(AK4)&gt;0</formula>
    </cfRule>
  </conditionalFormatting>
  <dataValidations count="14">
    <dataValidation sqref="B4:B33" showDropDown="0" showInputMessage="0" showErrorMessage="1" allowBlank="1" errorTitle="집단 코드" error="1(실험군) 또는 2(통제군)만 입력하세요." type="list">
      <formula1>"1,2"</formula1>
    </dataValidation>
    <dataValidation sqref="D4:D33" showDropDown="0" showInputMessage="0" showErrorMessage="1" allowBlank="1" errorTitle="분석 포함" error="1(포함) 또는 0(제외)만 입력하세요." type="list">
      <formula1>"1,0"</formula1>
    </dataValidation>
    <dataValidation sqref="E4:E33" showDropDown="0" showInputMessage="0" showErrorMessage="1" allowBlank="1" errorTitle="제외 사유" error="목록에서 고르고, 자세한 내용은 오른쪽 '상세' 칸에 적어 주세요." type="list" errorStyle="information">
      <formula1>"중재 중단,사후 미측정,부상,최대치 판정 미충족,기타"</formula1>
    </dataValidation>
    <dataValidation sqref="H4:H33" showDropDown="0" showInputMessage="0" showErrorMessage="1" allowBlank="1" errorTitle="성별" error="1(남) 또는 2(여)만 입력하세요." type="list">
      <formula1>"1,2"</formula1>
    </dataValidation>
    <dataValidation sqref="U4:U33" showDropDown="0" showInputMessage="0" showErrorMessage="1" allowBlank="1" errorTitle="예/아니오" error="1(예) 또는 0(아니오)만 입력하세요. 판정할 수 없으면 빈칸." type="list">
      <formula1>"1,0"</formula1>
    </dataValidation>
    <dataValidation sqref="AD4:AD33" showDropDown="0" showInputMessage="0" showErrorMessage="1" allowBlank="1" errorTitle="예/아니오" error="1(예) 또는 0(아니오)만 입력하세요. 판정할 수 없으면 빈칸." type="list">
      <formula1>"1,0"</formula1>
    </dataValidation>
    <dataValidation sqref="T4:T33" showDropDown="0" showInputMessage="0" showErrorMessage="1" allowBlank="1" errorTitle="예/아니오" error="1(예) 또는 0(아니오)만 입력하세요. 판정할 수 없으면 빈칸." type="list">
      <formula1>"1,0"</formula1>
    </dataValidation>
    <dataValidation sqref="AC4:AC33" showDropDown="0" showInputMessage="0" showErrorMessage="1" allowBlank="1" errorTitle="예/아니오" error="1(예) 또는 0(아니오)만 입력하세요. 판정할 수 없으면 빈칸." type="list">
      <formula1>"1,0"</formula1>
    </dataValidation>
    <dataValidation sqref="O4:O33" showDropDown="0" showInputMessage="0" showErrorMessage="1" allowBlank="1" errorTitle="VO2max 단위" error="mL/kg/min 단위가 맞는지 확인하세요(일반 범위 15–95)." type="decimal" errorStyle="warning" operator="between">
      <formula1>15</formula1>
      <formula2>95</formula2>
    </dataValidation>
    <dataValidation sqref="X4:X33" showDropDown="0" showInputMessage="0" showErrorMessage="1" allowBlank="1" errorTitle="VO2max 단위" error="mL/kg/min 단위가 맞는지 확인하세요(일반 범위 15–95)." type="decimal" errorStyle="warning" operator="between">
      <formula1>15</formula1>
      <formula2>95</formula2>
    </dataValidation>
    <dataValidation sqref="S4:S33" showDropDown="0" showInputMessage="0" showErrorMessage="1" allowBlank="1" errorTitle="RPE" error="Borg 6–20 기준입니다. 다른 척도면 연구정보 E5에 적어 주세요." type="decimal" errorStyle="warning" operator="between">
      <formula1>6</formula1>
      <formula2>20</formula2>
    </dataValidation>
    <dataValidation sqref="AB4:AB33" showDropDown="0" showInputMessage="0" showErrorMessage="1" allowBlank="1" errorTitle="RPE" error="Borg 6–20 기준입니다. 다른 척도면 연구정보 E5에 적어 주세요." type="decimal" errorStyle="warning" operator="between">
      <formula1>6</formula1>
      <formula2>20</formula2>
    </dataValidation>
    <dataValidation sqref="V4:V33" showDropDown="0" showInputMessage="0" showErrorMessage="1" allowBlank="1" errorTitle="날짜 형식" error="2025-03-03 형식(하이픈)으로 입력하세요. 2025.03.03은 날짜로 인식되지 않습니다." type="date" errorStyle="warning" operator="between">
      <formula1>DATE(2020,1,1)</formula1>
      <formula2>DATE(2027,12,31)</formula2>
    </dataValidation>
    <dataValidation sqref="AE4:AE33" showDropDown="0" showInputMessage="0" showErrorMessage="1" allowBlank="1" errorTitle="날짜 형식" error="2025-03-03 형식(하이픈)으로 입력하세요. 2025.03.03은 날짜로 인식되지 않습니다." type="date" errorStyle="warning" operator="between">
      <formula1>DATE(2020,1,1)</formula1>
      <formula2>DATE(2027,12,31)</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S33"/>
  <sheetViews>
    <sheetView zoomScale="90" workbookViewId="0">
      <pane xSplit="4" ySplit="3" topLeftCell="E4"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6" customWidth="1" min="3" max="3"/>
    <col width="9" customWidth="1" min="4" max="4"/>
    <col width="7" customWidth="1" min="5" max="5"/>
    <col width="10" customWidth="1" min="6" max="6"/>
    <col width="7" customWidth="1" min="7" max="7"/>
    <col width="7" customWidth="1" min="8" max="8"/>
    <col width="7" customWidth="1" min="9" max="9"/>
    <col width="7" customWidth="1" min="10" max="10"/>
    <col width="7" customWidth="1" min="11" max="11"/>
    <col width="7" customWidth="1" min="12" max="12"/>
    <col width="7" customWidth="1" min="13" max="13"/>
    <col width="9" customWidth="1" min="14" max="14"/>
    <col width="7" customWidth="1" min="15" max="15"/>
    <col width="7" customWidth="1" min="16" max="16"/>
    <col width="7" customWidth="1" min="17" max="17"/>
    <col width="9" customWidth="1" min="18" max="18"/>
    <col width="7" customWidth="1" min="19" max="19"/>
    <col width="7" customWidth="1" min="20" max="20"/>
    <col width="9" customWidth="1" min="21" max="21"/>
    <col width="9" customWidth="1" min="22" max="22"/>
    <col width="7" customWidth="1" min="23" max="23"/>
    <col width="10"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9" customWidth="1" min="32" max="32"/>
    <col width="7" customWidth="1" min="33" max="33"/>
    <col width="7" customWidth="1" min="34" max="34"/>
    <col width="7" customWidth="1" min="35" max="35"/>
    <col width="9" customWidth="1" min="36" max="36"/>
    <col width="7" customWidth="1" min="37" max="37"/>
    <col width="7" customWidth="1" min="38" max="38"/>
    <col width="9" customWidth="1" min="39" max="39"/>
    <col width="9" customWidth="1" min="40" max="40"/>
    <col width="6" customWidth="1" min="41" max="41"/>
    <col width="6" customWidth="1" min="42" max="42"/>
    <col width="6" customWidth="1" min="43" max="43"/>
    <col width="6" customWidth="1" min="44" max="44"/>
    <col width="6" customWidth="1" min="45" max="45"/>
    <col width="6" customWidth="1" min="46" max="46"/>
    <col width="6" customWidth="1" min="47" max="47"/>
    <col width="8" customWidth="1" min="48" max="48"/>
    <col width="8" customWidth="1" min="49" max="49"/>
    <col width="7" customWidth="1" min="50" max="50"/>
    <col width="6" customWidth="1" min="51" max="51"/>
    <col width="6" customWidth="1" min="52" max="52"/>
    <col width="6" customWidth="1" min="53" max="53"/>
    <col width="6" customWidth="1" min="54" max="54"/>
    <col width="6" customWidth="1" min="55" max="55"/>
    <col width="6" customWidth="1" min="56" max="56"/>
    <col width="6" customWidth="1" min="57" max="57"/>
    <col width="8" customWidth="1" min="58" max="58"/>
    <col width="8" customWidth="1" min="59" max="59"/>
    <col width="7" customWidth="1" min="60" max="60"/>
    <col width="8" customWidth="1" min="61" max="61"/>
    <col width="8" customWidth="1" min="62" max="62"/>
    <col width="8" customWidth="1" min="63" max="63"/>
    <col width="9" customWidth="1" min="64" max="64"/>
    <col width="9" customWidth="1" min="65" max="65"/>
    <col width="8" customWidth="1" min="66" max="66"/>
    <col width="8" customWidth="1" min="67" max="67"/>
    <col width="9" customWidth="1" min="68" max="68"/>
    <col width="9" customWidth="1" min="69" max="69"/>
    <col width="9" customWidth="1" min="70" max="70"/>
    <col width="60" customWidth="1" min="71" max="71"/>
  </cols>
  <sheetData>
    <row r="1" ht="16" customHeight="1">
      <c r="A1" s="23" t="inlineStr">
        <is>
          <t>ID</t>
        </is>
      </c>
      <c r="B1" s="23" t="inlineStr">
        <is>
          <t>group</t>
        </is>
      </c>
      <c r="C1" s="23" t="inlineStr">
        <is>
          <t>include</t>
        </is>
      </c>
      <c r="D1" s="23" t="inlineStr">
        <is>
          <t>include_fms</t>
        </is>
      </c>
      <c r="E1" s="23" t="inlineStr">
        <is>
          <t>rater_pre</t>
        </is>
      </c>
      <c r="F1" s="23" t="inlineStr">
        <is>
          <t>date_fms_pre</t>
        </is>
      </c>
      <c r="G1" s="23" t="inlineStr">
        <is>
          <t>DS_pre</t>
        </is>
      </c>
      <c r="H1" s="23" t="inlineStr">
        <is>
          <t>HS_L_pre</t>
        </is>
      </c>
      <c r="I1" s="23" t="inlineStr">
        <is>
          <t>HS_R_pre</t>
        </is>
      </c>
      <c r="J1" s="23" t="inlineStr">
        <is>
          <t>ILL_L_pre</t>
        </is>
      </c>
      <c r="K1" s="23" t="inlineStr">
        <is>
          <t>ILL_R_pre</t>
        </is>
      </c>
      <c r="L1" s="23" t="inlineStr">
        <is>
          <t>SM_L_pre</t>
        </is>
      </c>
      <c r="M1" s="23" t="inlineStr">
        <is>
          <t>SM_R_pre</t>
        </is>
      </c>
      <c r="N1" s="23" t="inlineStr">
        <is>
          <t>SM_clr_pre</t>
        </is>
      </c>
      <c r="O1" s="23" t="inlineStr">
        <is>
          <t>ASLR_L_pre</t>
        </is>
      </c>
      <c r="P1" s="23" t="inlineStr">
        <is>
          <t>ASLR_R_pre</t>
        </is>
      </c>
      <c r="Q1" s="23" t="inlineStr">
        <is>
          <t>TSPU_pre</t>
        </is>
      </c>
      <c r="R1" s="23" t="inlineStr">
        <is>
          <t>TSPU_clr_pre</t>
        </is>
      </c>
      <c r="S1" s="23" t="inlineStr">
        <is>
          <t>RS_L_pre</t>
        </is>
      </c>
      <c r="T1" s="23" t="inlineStr">
        <is>
          <t>RS_R_pre</t>
        </is>
      </c>
      <c r="U1" s="23" t="inlineStr">
        <is>
          <t>RS_clr_pre</t>
        </is>
      </c>
      <c r="V1" s="23" t="inlineStr">
        <is>
          <t>fms_spss_pre</t>
        </is>
      </c>
      <c r="W1" s="23" t="inlineStr">
        <is>
          <t>rater_post</t>
        </is>
      </c>
      <c r="X1" s="23" t="inlineStr">
        <is>
          <t>date_fms_post</t>
        </is>
      </c>
      <c r="Y1" s="23" t="inlineStr">
        <is>
          <t>DS_post</t>
        </is>
      </c>
      <c r="Z1" s="23" t="inlineStr">
        <is>
          <t>HS_L_post</t>
        </is>
      </c>
      <c r="AA1" s="23" t="inlineStr">
        <is>
          <t>HS_R_post</t>
        </is>
      </c>
      <c r="AB1" s="23" t="inlineStr">
        <is>
          <t>ILL_L_post</t>
        </is>
      </c>
      <c r="AC1" s="23" t="inlineStr">
        <is>
          <t>ILL_R_post</t>
        </is>
      </c>
      <c r="AD1" s="23" t="inlineStr">
        <is>
          <t>SM_L_post</t>
        </is>
      </c>
      <c r="AE1" s="23" t="inlineStr">
        <is>
          <t>SM_R_post</t>
        </is>
      </c>
      <c r="AF1" s="23" t="inlineStr">
        <is>
          <t>SM_clr_post</t>
        </is>
      </c>
      <c r="AG1" s="23" t="inlineStr">
        <is>
          <t>ASLR_L_post</t>
        </is>
      </c>
      <c r="AH1" s="23" t="inlineStr">
        <is>
          <t>ASLR_R_post</t>
        </is>
      </c>
      <c r="AI1" s="23" t="inlineStr">
        <is>
          <t>TSPU_post</t>
        </is>
      </c>
      <c r="AJ1" s="23" t="inlineStr">
        <is>
          <t>TSPU_clr_post</t>
        </is>
      </c>
      <c r="AK1" s="23" t="inlineStr">
        <is>
          <t>RS_L_post</t>
        </is>
      </c>
      <c r="AL1" s="23" t="inlineStr">
        <is>
          <t>RS_R_post</t>
        </is>
      </c>
      <c r="AM1" s="23" t="inlineStr">
        <is>
          <t>RS_clr_post</t>
        </is>
      </c>
      <c r="AN1" s="23" t="inlineStr">
        <is>
          <t>fms_spss_post</t>
        </is>
      </c>
      <c r="AO1" s="23" t="inlineStr">
        <is>
          <t>DSs_pre</t>
        </is>
      </c>
      <c r="AP1" s="23" t="inlineStr">
        <is>
          <t>HSs_pre</t>
        </is>
      </c>
      <c r="AQ1" s="23" t="inlineStr">
        <is>
          <t>ILLs_pre</t>
        </is>
      </c>
      <c r="AR1" s="23" t="inlineStr">
        <is>
          <t>SMs_pre</t>
        </is>
      </c>
      <c r="AS1" s="23" t="inlineStr">
        <is>
          <t>ASLRs_pre</t>
        </is>
      </c>
      <c r="AT1" s="23" t="inlineStr">
        <is>
          <t>TSPUs_pre</t>
        </is>
      </c>
      <c r="AU1" s="23" t="inlineStr">
        <is>
          <t>RSs_pre</t>
        </is>
      </c>
      <c r="AV1" s="23" t="inlineStr">
        <is>
          <t>fms_calc_pre</t>
        </is>
      </c>
      <c r="AW1" s="23" t="inlineStr">
        <is>
          <t>asym_pre</t>
        </is>
      </c>
      <c r="AX1" s="23" t="inlineStr">
        <is>
          <t>clrn_pre</t>
        </is>
      </c>
      <c r="AY1" s="23" t="inlineStr">
        <is>
          <t>DSs_post</t>
        </is>
      </c>
      <c r="AZ1" s="23" t="inlineStr">
        <is>
          <t>HSs_post</t>
        </is>
      </c>
      <c r="BA1" s="23" t="inlineStr">
        <is>
          <t>ILLs_post</t>
        </is>
      </c>
      <c r="BB1" s="23" t="inlineStr">
        <is>
          <t>SMs_post</t>
        </is>
      </c>
      <c r="BC1" s="23" t="inlineStr">
        <is>
          <t>ASLRs_post</t>
        </is>
      </c>
      <c r="BD1" s="23" t="inlineStr">
        <is>
          <t>TSPUs_post</t>
        </is>
      </c>
      <c r="BE1" s="23" t="inlineStr">
        <is>
          <t>RSs_post</t>
        </is>
      </c>
      <c r="BF1" s="23" t="inlineStr">
        <is>
          <t>fms_calc_post</t>
        </is>
      </c>
      <c r="BG1" s="23" t="inlineStr">
        <is>
          <t>asym_post</t>
        </is>
      </c>
      <c r="BH1" s="23" t="inlineStr">
        <is>
          <t>clrn_post</t>
        </is>
      </c>
      <c r="BI1" s="23" t="inlineStr">
        <is>
          <t>fms_pre</t>
        </is>
      </c>
      <c r="BJ1" s="23" t="inlineStr">
        <is>
          <t>fms_post</t>
        </is>
      </c>
      <c r="BK1" s="23" t="inlineStr">
        <is>
          <t>d_fms</t>
        </is>
      </c>
      <c r="BL1" s="23" t="inlineStr">
        <is>
          <t>src_pre</t>
        </is>
      </c>
      <c r="BM1" s="23" t="inlineStr">
        <is>
          <t>src_post</t>
        </is>
      </c>
      <c r="BN1" s="23" t="inlineStr">
        <is>
          <t>r2_pre</t>
        </is>
      </c>
      <c r="BO1" s="23" t="inlineStr">
        <is>
          <t>r2_post</t>
        </is>
      </c>
      <c r="BP1" s="23" t="inlineStr">
        <is>
          <t>avg_pre</t>
        </is>
      </c>
      <c r="BQ1" s="23" t="inlineStr">
        <is>
          <t>avg_post</t>
        </is>
      </c>
      <c r="BR1" s="23" t="inlineStr">
        <is>
          <t>d_avg</t>
        </is>
      </c>
      <c r="BS1" s="23" t="inlineStr">
        <is>
          <t>chk_fms</t>
        </is>
      </c>
    </row>
    <row r="2" ht="84" customHeight="1">
      <c r="A2" s="24" t="inlineStr">
        <is>
          <t>대상자 ID
(직접 입력)</t>
        </is>
      </c>
      <c r="B2" s="25" t="inlineStr">
        <is>
          <t>집단
(자동)</t>
        </is>
      </c>
      <c r="C2" s="25" t="inlineStr">
        <is>
          <t>분석
포함
(자동)</t>
        </is>
      </c>
      <c r="D2" s="24" t="inlineStr">
        <is>
          <t>FMS만
분석포함
1/0 (비우면
대상자 시트
따름)</t>
        </is>
      </c>
      <c r="E2" s="26" t="inlineStr">
        <is>
          <t>사전
평가자
(코드)</t>
        </is>
      </c>
      <c r="F2" s="26" t="inlineStr">
        <is>
          <t>사전 FMS
검사일</t>
        </is>
      </c>
      <c r="G2" s="26" t="inlineStr">
        <is>
          <t>사전
DS
(0–3)</t>
        </is>
      </c>
      <c r="H2" s="26" t="inlineStr">
        <is>
          <t>사전
HS 좌
(0–3)</t>
        </is>
      </c>
      <c r="I2" s="26" t="inlineStr">
        <is>
          <t>사전
HS 우
(0–3)</t>
        </is>
      </c>
      <c r="J2" s="26" t="inlineStr">
        <is>
          <t>사전
ILL 좌
(0–3)</t>
        </is>
      </c>
      <c r="K2" s="26" t="inlineStr">
        <is>
          <t>사전
ILL 우
(0–3)</t>
        </is>
      </c>
      <c r="L2" s="26" t="inlineStr">
        <is>
          <t>사전
SM 좌
(0–3)</t>
        </is>
      </c>
      <c r="M2" s="26" t="inlineStr">
        <is>
          <t>사전
SM 우
(0–3)</t>
        </is>
      </c>
      <c r="N2" s="26" t="inlineStr">
        <is>
          <t>사전
SM
clearing
통증 1/0
(좌·우 중 하나라도)</t>
        </is>
      </c>
      <c r="O2" s="26" t="inlineStr">
        <is>
          <t>사전
ASLR 좌
(0–3)</t>
        </is>
      </c>
      <c r="P2" s="26" t="inlineStr">
        <is>
          <t>사전
ASLR 우
(0–3)</t>
        </is>
      </c>
      <c r="Q2" s="26" t="inlineStr">
        <is>
          <t>사전
TSPU
(0–3)</t>
        </is>
      </c>
      <c r="R2" s="26" t="inlineStr">
        <is>
          <t>사전
TSPU
clearing
통증 1/0</t>
        </is>
      </c>
      <c r="S2" s="26" t="inlineStr">
        <is>
          <t>사전
RS 좌
(0–3)</t>
        </is>
      </c>
      <c r="T2" s="26" t="inlineStr">
        <is>
          <t>사전
RS 우
(0–3)</t>
        </is>
      </c>
      <c r="U2" s="26" t="inlineStr">
        <is>
          <t>사전
RS
clearing
통증 1/0</t>
        </is>
      </c>
      <c r="V2" s="26" t="inlineStr">
        <is>
          <t>사전 총점
기존 SPSS·
포스터 값
(있으면)</t>
        </is>
      </c>
      <c r="W2" s="27" t="inlineStr">
        <is>
          <t>사후
평가자
(코드)</t>
        </is>
      </c>
      <c r="X2" s="27" t="inlineStr">
        <is>
          <t>사후 FMS
검사일</t>
        </is>
      </c>
      <c r="Y2" s="27" t="inlineStr">
        <is>
          <t>사후
DS
(0–3)</t>
        </is>
      </c>
      <c r="Z2" s="27" t="inlineStr">
        <is>
          <t>사후
HS 좌
(0–3)</t>
        </is>
      </c>
      <c r="AA2" s="27" t="inlineStr">
        <is>
          <t>사후
HS 우
(0–3)</t>
        </is>
      </c>
      <c r="AB2" s="27" t="inlineStr">
        <is>
          <t>사후
ILL 좌
(0–3)</t>
        </is>
      </c>
      <c r="AC2" s="27" t="inlineStr">
        <is>
          <t>사후
ILL 우
(0–3)</t>
        </is>
      </c>
      <c r="AD2" s="27" t="inlineStr">
        <is>
          <t>사후
SM 좌
(0–3)</t>
        </is>
      </c>
      <c r="AE2" s="27" t="inlineStr">
        <is>
          <t>사후
SM 우
(0–3)</t>
        </is>
      </c>
      <c r="AF2" s="27" t="inlineStr">
        <is>
          <t>사후
SM
clearing
통증 1/0
(좌·우 중 하나라도)</t>
        </is>
      </c>
      <c r="AG2" s="27" t="inlineStr">
        <is>
          <t>사후
ASLR 좌
(0–3)</t>
        </is>
      </c>
      <c r="AH2" s="27" t="inlineStr">
        <is>
          <t>사후
ASLR 우
(0–3)</t>
        </is>
      </c>
      <c r="AI2" s="27" t="inlineStr">
        <is>
          <t>사후
TSPU
(0–3)</t>
        </is>
      </c>
      <c r="AJ2" s="27" t="inlineStr">
        <is>
          <t>사후
TSPU
clearing
통증 1/0</t>
        </is>
      </c>
      <c r="AK2" s="27" t="inlineStr">
        <is>
          <t>사후
RS 좌
(0–3)</t>
        </is>
      </c>
      <c r="AL2" s="27" t="inlineStr">
        <is>
          <t>사후
RS 우
(0–3)</t>
        </is>
      </c>
      <c r="AM2" s="27" t="inlineStr">
        <is>
          <t>사후
RS
clearing
통증 1/0</t>
        </is>
      </c>
      <c r="AN2" s="27" t="inlineStr">
        <is>
          <t>사후 총점
기존 SPSS·
포스터 값
(있으면)</t>
        </is>
      </c>
      <c r="AO2" s="25" t="inlineStr">
        <is>
          <t>사전
DS
점수
(자동)</t>
        </is>
      </c>
      <c r="AP2" s="25" t="inlineStr">
        <is>
          <t>사전
HS
점수
(자동)</t>
        </is>
      </c>
      <c r="AQ2" s="25" t="inlineStr">
        <is>
          <t>사전
ILL
점수
(자동)</t>
        </is>
      </c>
      <c r="AR2" s="25" t="inlineStr">
        <is>
          <t>사전
SM
점수
(자동)</t>
        </is>
      </c>
      <c r="AS2" s="25" t="inlineStr">
        <is>
          <t>사전
ASLR
점수
(자동)</t>
        </is>
      </c>
      <c r="AT2" s="25" t="inlineStr">
        <is>
          <t>사전
TSPU
점수
(자동)</t>
        </is>
      </c>
      <c r="AU2" s="25" t="inlineStr">
        <is>
          <t>사전
RS
점수
(자동)</t>
        </is>
      </c>
      <c r="AV2" s="25" t="inlineStr">
        <is>
          <t>사전
하위항목 합
(자동)</t>
        </is>
      </c>
      <c r="AW2" s="25" t="inlineStr">
        <is>
          <t>사전
좌우 비대칭
항목 수
(자동)</t>
        </is>
      </c>
      <c r="AX2" s="25" t="inlineStr">
        <is>
          <t>사전
clearing
기록 수
(자동)</t>
        </is>
      </c>
      <c r="AY2" s="25" t="inlineStr">
        <is>
          <t>사후
DS
점수
(자동)</t>
        </is>
      </c>
      <c r="AZ2" s="25" t="inlineStr">
        <is>
          <t>사후
HS
점수
(자동)</t>
        </is>
      </c>
      <c r="BA2" s="25" t="inlineStr">
        <is>
          <t>사후
ILL
점수
(자동)</t>
        </is>
      </c>
      <c r="BB2" s="25" t="inlineStr">
        <is>
          <t>사후
SM
점수
(자동)</t>
        </is>
      </c>
      <c r="BC2" s="25" t="inlineStr">
        <is>
          <t>사후
ASLR
점수
(자동)</t>
        </is>
      </c>
      <c r="BD2" s="25" t="inlineStr">
        <is>
          <t>사후
TSPU
점수
(자동)</t>
        </is>
      </c>
      <c r="BE2" s="25" t="inlineStr">
        <is>
          <t>사후
RS
점수
(자동)</t>
        </is>
      </c>
      <c r="BF2" s="25" t="inlineStr">
        <is>
          <t>사후
하위항목 합
(자동)</t>
        </is>
      </c>
      <c r="BG2" s="25" t="inlineStr">
        <is>
          <t>사후
좌우 비대칭
항목 수
(자동)</t>
        </is>
      </c>
      <c r="BH2" s="25" t="inlineStr">
        <is>
          <t>사후
clearing
기록 수
(자동)</t>
        </is>
      </c>
      <c r="BI2" s="25" t="inlineStr">
        <is>
          <t>분석용
사전 총점
(자동)</t>
        </is>
      </c>
      <c r="BJ2" s="25" t="inlineStr">
        <is>
          <t>분석용
사후 총점
(자동)</t>
        </is>
      </c>
      <c r="BK2" s="25" t="inlineStr">
        <is>
          <t>FMS 변화
사후−사전
(자동)</t>
        </is>
      </c>
      <c r="BL2" s="25" t="inlineStr">
        <is>
          <t>사전 총점
출처
(자동)</t>
        </is>
      </c>
      <c r="BM2" s="25" t="inlineStr">
        <is>
          <t>사후 총점
출처
(자동)</t>
        </is>
      </c>
      <c r="BN2" s="25" t="inlineStr">
        <is>
          <t>평가자2
사전 총점
(자동)</t>
        </is>
      </c>
      <c r="BO2" s="25" t="inlineStr">
        <is>
          <t>평가자2
사후 총점
(자동)</t>
        </is>
      </c>
      <c r="BP2" s="25" t="inlineStr">
        <is>
          <t>평가자 평균
사전 총점
(자동)</t>
        </is>
      </c>
      <c r="BQ2" s="25" t="inlineStr">
        <is>
          <t>평가자 평균
사후 총점
(자동)</t>
        </is>
      </c>
      <c r="BR2" s="25" t="inlineStr">
        <is>
          <t>평가자 평균
변화
(자동)</t>
        </is>
      </c>
      <c r="BS2" s="25" t="inlineStr">
        <is>
          <t>자동 점검 (경고가 있으면 주황색)</t>
        </is>
      </c>
    </row>
    <row r="3">
      <c r="A3" s="28" t="inlineStr">
        <is>
          <t>예시</t>
        </is>
      </c>
      <c r="B3" s="38" t="n">
        <v>1</v>
      </c>
      <c r="C3" s="38" t="n">
        <v>0</v>
      </c>
      <c r="D3" s="29" t="n"/>
      <c r="E3" s="28" t="inlineStr">
        <is>
          <t>R1</t>
        </is>
      </c>
      <c r="F3" s="34" t="n">
        <v>45720</v>
      </c>
      <c r="G3" s="29" t="n">
        <v>2</v>
      </c>
      <c r="H3" s="29" t="n">
        <v>2</v>
      </c>
      <c r="I3" s="29" t="n">
        <v>2</v>
      </c>
      <c r="J3" s="29" t="n">
        <v>2</v>
      </c>
      <c r="K3" s="29" t="n">
        <v>3</v>
      </c>
      <c r="L3" s="29" t="n">
        <v>3</v>
      </c>
      <c r="M3" s="29" t="n">
        <v>2</v>
      </c>
      <c r="N3" s="29" t="n">
        <v>0</v>
      </c>
      <c r="O3" s="29" t="n">
        <v>2</v>
      </c>
      <c r="P3" s="29" t="n">
        <v>2</v>
      </c>
      <c r="Q3" s="29" t="n">
        <v>2</v>
      </c>
      <c r="R3" s="29" t="n">
        <v>0</v>
      </c>
      <c r="S3" s="29" t="n">
        <v>2</v>
      </c>
      <c r="T3" s="29" t="n">
        <v>2</v>
      </c>
      <c r="U3" s="29" t="n">
        <v>0</v>
      </c>
      <c r="V3" s="33" t="n">
        <v>14</v>
      </c>
      <c r="W3" s="28" t="inlineStr">
        <is>
          <t>R1</t>
        </is>
      </c>
      <c r="X3" s="34" t="n">
        <v>45808</v>
      </c>
      <c r="Y3" s="29" t="n">
        <v>3</v>
      </c>
      <c r="Z3" s="29" t="n">
        <v>2</v>
      </c>
      <c r="AA3" s="29" t="n">
        <v>3</v>
      </c>
      <c r="AB3" s="29" t="n">
        <v>3</v>
      </c>
      <c r="AC3" s="29" t="n">
        <v>3</v>
      </c>
      <c r="AD3" s="29" t="n">
        <v>3</v>
      </c>
      <c r="AE3" s="29" t="n">
        <v>2</v>
      </c>
      <c r="AF3" s="29" t="n">
        <v>0</v>
      </c>
      <c r="AG3" s="29" t="n">
        <v>3</v>
      </c>
      <c r="AH3" s="29" t="n">
        <v>2</v>
      </c>
      <c r="AI3" s="29" t="n">
        <v>2</v>
      </c>
      <c r="AJ3" s="29" t="n">
        <v>0</v>
      </c>
      <c r="AK3" s="29" t="n">
        <v>2</v>
      </c>
      <c r="AL3" s="29" t="n">
        <v>2</v>
      </c>
      <c r="AM3" s="29" t="n">
        <v>0</v>
      </c>
      <c r="AN3" s="33" t="n">
        <v>16</v>
      </c>
      <c r="AO3" s="38">
        <f>IF(ISNUMBER(G3),G3,"")</f>
        <v/>
      </c>
      <c r="AP3" s="38">
        <f>IF(AND(ISNUMBER(H3),ISNUMBER(I3)),MIN(H3,I3),"")</f>
        <v/>
      </c>
      <c r="AQ3" s="38">
        <f>IF(AND(ISNUMBER(J3),ISNUMBER(K3)),MIN(J3,K3),"")</f>
        <v/>
      </c>
      <c r="AR3" s="38">
        <f>IF(AND(ISNUMBER(L3),ISNUMBER(M3)),IF(N3=1,0,MIN(L3,M3)),"")</f>
        <v/>
      </c>
      <c r="AS3" s="38">
        <f>IF(AND(ISNUMBER(O3),ISNUMBER(P3)),MIN(O3,P3),"")</f>
        <v/>
      </c>
      <c r="AT3" s="38">
        <f>IF(ISNUMBER(Q3),IF(R3=1,0,Q3),"")</f>
        <v/>
      </c>
      <c r="AU3" s="38">
        <f>IF(AND(ISNUMBER(S3),ISNUMBER(T3)),IF(U3=1,0,MIN(S3,T3)),"")</f>
        <v/>
      </c>
      <c r="AV3" s="38">
        <f>IF(COUNT(AO3:AU3)=7,SUM(AO3:AU3),"")</f>
        <v/>
      </c>
      <c r="AW3" s="38">
        <f>IF(ISNUMBER(AV3),--(H3&lt;&gt;I3)+--(J3&lt;&gt;K3)+--(L3&lt;&gt;M3)+--(O3&lt;&gt;P3)+--(S3&lt;&gt;T3),"")</f>
        <v/>
      </c>
      <c r="AX3" s="38">
        <f>IF(ISNUMBER(AV3),COUNT(N3,R3,U3),"")</f>
        <v/>
      </c>
      <c r="AY3" s="38">
        <f>IF(ISNUMBER(Y3),Y3,"")</f>
        <v/>
      </c>
      <c r="AZ3" s="38">
        <f>IF(AND(ISNUMBER(Z3),ISNUMBER(AA3)),MIN(Z3,AA3),"")</f>
        <v/>
      </c>
      <c r="BA3" s="38">
        <f>IF(AND(ISNUMBER(AB3),ISNUMBER(AC3)),MIN(AB3,AC3),"")</f>
        <v/>
      </c>
      <c r="BB3" s="38">
        <f>IF(AND(ISNUMBER(AD3),ISNUMBER(AE3)),IF(AF3=1,0,MIN(AD3,AE3)),"")</f>
        <v/>
      </c>
      <c r="BC3" s="38">
        <f>IF(AND(ISNUMBER(AG3),ISNUMBER(AH3)),MIN(AG3,AH3),"")</f>
        <v/>
      </c>
      <c r="BD3" s="38">
        <f>IF(ISNUMBER(AI3),IF(AJ3=1,0,AI3),"")</f>
        <v/>
      </c>
      <c r="BE3" s="38">
        <f>IF(AND(ISNUMBER(AK3),ISNUMBER(AL3)),IF(AM3=1,0,MIN(AK3,AL3)),"")</f>
        <v/>
      </c>
      <c r="BF3" s="38">
        <f>IF(COUNT(AY3:BE3)=7,SUM(AY3:BE3),"")</f>
        <v/>
      </c>
      <c r="BG3" s="38">
        <f>IF(ISNUMBER(BF3),--(Z3&lt;&gt;AA3)+--(AB3&lt;&gt;AC3)+--(AD3&lt;&gt;AE3)+--(AG3&lt;&gt;AH3)+--(AK3&lt;&gt;AL3),"")</f>
        <v/>
      </c>
      <c r="BH3" s="38">
        <f>IF(ISNUMBER(BF3),COUNT(AF3,AJ3,AM3),"")</f>
        <v/>
      </c>
      <c r="BI3" s="35">
        <f>IF(ISNUMBER(AV3),AV3,IF(ISNUMBER(V3),V3,""))</f>
        <v/>
      </c>
      <c r="BJ3" s="35">
        <f>IF(ISNUMBER(BF3),BF3,IF(ISNUMBER(AN3),AN3,""))</f>
        <v/>
      </c>
      <c r="BK3" s="35">
        <f>IF(AND(ISNUMBER(BI3),ISNUMBER(BJ3)),BJ3-BI3,"")</f>
        <v/>
      </c>
      <c r="BL3" s="30">
        <f>IF(ISNUMBER(AV3),"하위항목",IF(ISNUMBER(V3),"SPSS총점",""))</f>
        <v/>
      </c>
      <c r="BM3" s="30">
        <f>IF(ISNUMBER(BF3),"하위항목",IF(ISNUMBER(AN3),"SPSS총점",""))</f>
        <v/>
      </c>
      <c r="BN3" s="38">
        <f>IF($A3="","",IFERROR(IF(ISNUMBER(INDEX('FMS_평가자2'!$AP$4:$AP$33,MATCH($A3,'FMS_평가자2'!$A$4:$A$33,0))),INDEX('FMS_평가자2'!$AP$4:$AP$33,MATCH($A3,'FMS_평가자2'!$A$4:$A$33,0)),""),""))</f>
        <v/>
      </c>
      <c r="BO3" s="38">
        <f>IF($A3="","",IFERROR(IF(ISNUMBER(INDEX('FMS_평가자2'!$AY$4:$AY$33,MATCH($A3,'FMS_평가자2'!$A$4:$A$33,0))),INDEX('FMS_평가자2'!$AY$4:$AY$33,MATCH($A3,'FMS_평가자2'!$A$4:$A$33,0)),""),""))</f>
        <v/>
      </c>
      <c r="BP3" s="35">
        <f>IF(AND(ISNUMBER(AV3),ISNUMBER(BN3)),(AV3+BN3)/2,"")</f>
        <v/>
      </c>
      <c r="BQ3" s="35">
        <f>IF(AND(ISNUMBER(BF3),ISNUMBER(BO3)),(BF3+BO3)/2,"")</f>
        <v/>
      </c>
      <c r="BR3" s="35">
        <f>IF(AND(ISNUMBER(BP3),ISNUMBER(BQ3)),BQ3-BP3,"")</f>
        <v/>
      </c>
      <c r="BS3" s="39" t="inlineStr"/>
    </row>
    <row r="4">
      <c r="A4" s="40" t="n"/>
      <c r="B4" s="50">
        <f>IF($A4="","",IFERROR(IF(INDEX('대상자_VO2max'!$B$4:$B$33,MATCH($A4,'대상자_VO2max'!$A$4:$A$33,0))="","",INDEX('대상자_VO2max'!$B$4:$B$33,MATCH($A4,'대상자_VO2max'!$A$4:$A$33,0))),"ID없음"))</f>
        <v/>
      </c>
      <c r="C4" s="50">
        <f>IF(ISNUMBER(D4),D4,IF($A4="","",IFERROR(IF(INDEX('대상자_VO2max'!$D$4:$D$33,MATCH($A4,'대상자_VO2max'!$A$4:$A$33,0))="","",INDEX('대상자_VO2max'!$D$4:$D$33,MATCH($A4,'대상자_VO2max'!$A$4:$A$33,0))),"ID없음")))</f>
        <v/>
      </c>
      <c r="D4" s="41" t="n"/>
      <c r="E4" s="40" t="n"/>
      <c r="F4" s="46" t="n"/>
      <c r="G4" s="41" t="n"/>
      <c r="H4" s="41" t="n"/>
      <c r="I4" s="41" t="n"/>
      <c r="J4" s="41" t="n"/>
      <c r="K4" s="41" t="n"/>
      <c r="L4" s="41" t="n"/>
      <c r="M4" s="41" t="n"/>
      <c r="N4" s="41" t="n"/>
      <c r="O4" s="41" t="n"/>
      <c r="P4" s="41" t="n"/>
      <c r="Q4" s="41" t="n"/>
      <c r="R4" s="41" t="n"/>
      <c r="S4" s="41" t="n"/>
      <c r="T4" s="41" t="n"/>
      <c r="U4" s="41" t="n"/>
      <c r="V4" s="45" t="n"/>
      <c r="W4" s="40" t="n"/>
      <c r="X4" s="46" t="n"/>
      <c r="Y4" s="41" t="n"/>
      <c r="Z4" s="41" t="n"/>
      <c r="AA4" s="41" t="n"/>
      <c r="AB4" s="41" t="n"/>
      <c r="AC4" s="41" t="n"/>
      <c r="AD4" s="41" t="n"/>
      <c r="AE4" s="41" t="n"/>
      <c r="AF4" s="41" t="n"/>
      <c r="AG4" s="41" t="n"/>
      <c r="AH4" s="41" t="n"/>
      <c r="AI4" s="41" t="n"/>
      <c r="AJ4" s="41" t="n"/>
      <c r="AK4" s="41" t="n"/>
      <c r="AL4" s="41" t="n"/>
      <c r="AM4" s="41" t="n"/>
      <c r="AN4" s="45" t="n"/>
      <c r="AO4" s="50">
        <f>IF(ISNUMBER(G4),G4,"")</f>
        <v/>
      </c>
      <c r="AP4" s="50">
        <f>IF(AND(ISNUMBER(H4),ISNUMBER(I4)),MIN(H4,I4),"")</f>
        <v/>
      </c>
      <c r="AQ4" s="50">
        <f>IF(AND(ISNUMBER(J4),ISNUMBER(K4)),MIN(J4,K4),"")</f>
        <v/>
      </c>
      <c r="AR4" s="50">
        <f>IF(AND(ISNUMBER(L4),ISNUMBER(M4)),IF(N4=1,0,MIN(L4,M4)),"")</f>
        <v/>
      </c>
      <c r="AS4" s="50">
        <f>IF(AND(ISNUMBER(O4),ISNUMBER(P4)),MIN(O4,P4),"")</f>
        <v/>
      </c>
      <c r="AT4" s="50">
        <f>IF(ISNUMBER(Q4),IF(R4=1,0,Q4),"")</f>
        <v/>
      </c>
      <c r="AU4" s="50">
        <f>IF(AND(ISNUMBER(S4),ISNUMBER(T4)),IF(U4=1,0,MIN(S4,T4)),"")</f>
        <v/>
      </c>
      <c r="AV4" s="50">
        <f>IF(COUNT(AO4:AU4)=7,SUM(AO4:AU4),"")</f>
        <v/>
      </c>
      <c r="AW4" s="50">
        <f>IF(ISNUMBER(AV4),--(H4&lt;&gt;I4)+--(J4&lt;&gt;K4)+--(L4&lt;&gt;M4)+--(O4&lt;&gt;P4)+--(S4&lt;&gt;T4),"")</f>
        <v/>
      </c>
      <c r="AX4" s="50">
        <f>IF(ISNUMBER(AV4),COUNT(N4,R4,U4),"")</f>
        <v/>
      </c>
      <c r="AY4" s="50">
        <f>IF(ISNUMBER(Y4),Y4,"")</f>
        <v/>
      </c>
      <c r="AZ4" s="50">
        <f>IF(AND(ISNUMBER(Z4),ISNUMBER(AA4)),MIN(Z4,AA4),"")</f>
        <v/>
      </c>
      <c r="BA4" s="50">
        <f>IF(AND(ISNUMBER(AB4),ISNUMBER(AC4)),MIN(AB4,AC4),"")</f>
        <v/>
      </c>
      <c r="BB4" s="50">
        <f>IF(AND(ISNUMBER(AD4),ISNUMBER(AE4)),IF(AF4=1,0,MIN(AD4,AE4)),"")</f>
        <v/>
      </c>
      <c r="BC4" s="50">
        <f>IF(AND(ISNUMBER(AG4),ISNUMBER(AH4)),MIN(AG4,AH4),"")</f>
        <v/>
      </c>
      <c r="BD4" s="50">
        <f>IF(ISNUMBER(AI4),IF(AJ4=1,0,AI4),"")</f>
        <v/>
      </c>
      <c r="BE4" s="50">
        <f>IF(AND(ISNUMBER(AK4),ISNUMBER(AL4)),IF(AM4=1,0,MIN(AK4,AL4)),"")</f>
        <v/>
      </c>
      <c r="BF4" s="50">
        <f>IF(COUNT(AY4:BE4)=7,SUM(AY4:BE4),"")</f>
        <v/>
      </c>
      <c r="BG4" s="50">
        <f>IF(ISNUMBER(BF4),--(Z4&lt;&gt;AA4)+--(AB4&lt;&gt;AC4)+--(AD4&lt;&gt;AE4)+--(AG4&lt;&gt;AH4)+--(AK4&lt;&gt;AL4),"")</f>
        <v/>
      </c>
      <c r="BH4" s="50">
        <f>IF(ISNUMBER(BF4),COUNT(AF4,AJ4,AM4),"")</f>
        <v/>
      </c>
      <c r="BI4" s="47">
        <f>IF(ISNUMBER(AV4),AV4,IF(ISNUMBER(V4),V4,""))</f>
        <v/>
      </c>
      <c r="BJ4" s="47">
        <f>IF(ISNUMBER(BF4),BF4,IF(ISNUMBER(AN4),AN4,""))</f>
        <v/>
      </c>
      <c r="BK4" s="47">
        <f>IF(AND(ISNUMBER(BI4),ISNUMBER(BJ4)),BJ4-BI4,"")</f>
        <v/>
      </c>
      <c r="BL4" s="42">
        <f>IF(ISNUMBER(AV4),"하위항목",IF(ISNUMBER(V4),"SPSS총점",""))</f>
        <v/>
      </c>
      <c r="BM4" s="42">
        <f>IF(ISNUMBER(BF4),"하위항목",IF(ISNUMBER(AN4),"SPSS총점",""))</f>
        <v/>
      </c>
      <c r="BN4" s="50">
        <f>IF($A4="","",IFERROR(IF(ISNUMBER(INDEX('FMS_평가자2'!$AP$4:$AP$33,MATCH($A4,'FMS_평가자2'!$A$4:$A$33,0))),INDEX('FMS_평가자2'!$AP$4:$AP$33,MATCH($A4,'FMS_평가자2'!$A$4:$A$33,0)),""),""))</f>
        <v/>
      </c>
      <c r="BO4" s="50">
        <f>IF($A4="","",IFERROR(IF(ISNUMBER(INDEX('FMS_평가자2'!$AY$4:$AY$33,MATCH($A4,'FMS_평가자2'!$A$4:$A$33,0))),INDEX('FMS_평가자2'!$AY$4:$AY$33,MATCH($A4,'FMS_평가자2'!$A$4:$A$33,0)),""),""))</f>
        <v/>
      </c>
      <c r="BP4" s="47">
        <f>IF(AND(ISNUMBER(AV4),ISNUMBER(BN4)),(AV4+BN4)/2,"")</f>
        <v/>
      </c>
      <c r="BQ4" s="47">
        <f>IF(AND(ISNUMBER(BF4),ISNUMBER(BO4)),(BF4+BO4)/2,"")</f>
        <v/>
      </c>
      <c r="BR4" s="47">
        <f>IF(AND(ISNUMBER(BP4),ISNUMBER(BQ4)),BQ4-BP4,"")</f>
        <v/>
      </c>
      <c r="BS4" s="51">
        <f>IF(A4="","",TRIM(IF(B4="ID없음","대상자_VO2max 시트에 없는 ID ","")&amp;IF(LEN(A4)&lt;&gt;LEN(TRIM(A4)),"ID 앞뒤 공백 ","")&amp;IF(COUNTIF($A$4:$A$33,A4)&gt;1,"ID 중복 ","")&amp;IF(AND(B4&lt;&gt;"ID없음",OR(B4="",AND(B4&lt;&gt;1,B4&lt;&gt;2))),"집단 코드 확인(대상자 시트) ","")&amp;IF(AND(B4&lt;&gt;"ID없음",OR(C4="",AND(C4&lt;&gt;0,C4&lt;&gt;1))),"분석포함 코드 확인 ","")&amp;IF(AND(COUNT(G4,H4,I4,J4,K4,L4,M4,O4,P4,Q4,S4,T4)&gt;0,COUNT(G4,H4,I4,J4,K4,L4,M4,O4,P4,Q4,S4,T4)&lt;12),"사전 동작점수 일부 빈칸 ","")&amp;IF(AND(COUNT(Y4,Z4,AA4,AB4,AC4,AD4,AE4,AG4,AH4,AI4,AK4,AL4)&gt;0,COUNT(Y4,Z4,AA4,AB4,AC4,AD4,AE4,AG4,AH4,AI4,AK4,AL4)&lt;12),"사후 동작점수 일부 빈칸 ","")&amp;IF(AND(V4&lt;&gt;"",NOT(ISNUMBER(V4))),"사전 SPSS총점 숫자 아님 ","")&amp;IF(AND(AN4&lt;&gt;"",NOT(ISNUMBER(AN4))),"사후 SPSS총점 숫자 아님 ","")&amp;IF(AND(ISNUMBER(AV4),ISNUMBER(V4)),IF(AV4&lt;&gt;V4,"사전: 계산총점≠SPSS총점 ",""),"")&amp;IF(ISNUMBER(BI4),IF(BI4&lt;&gt;INT(BI4),"사전 총점 정수 아님 ",""),"")&amp;IF(ISNUMBER(BI4),IF(OR(BI4&lt;0,BI4&gt;21),"사전 총점 범위(0–21) 밖 ",""),"")&amp;IF(AND(ISNUMBER(BF4),ISNUMBER(AN4)),IF(BF4&lt;&gt;AN4,"사후: 계산총점≠SPSS총점 ",""),"")&amp;IF(ISNUMBER(BJ4),IF(BJ4&lt;&gt;INT(BJ4),"사후 총점 정수 아님 ",""),"")&amp;IF(ISNUMBER(BJ4),IF(OR(BJ4&lt;0,BJ4&gt;21),"사후 총점 범위(0–21) 밖 ",""),"")&amp;IF(C4=1,IF(OR(NOT(ISNUMBER(BI4)),NOT(ISNUMBER(BJ4))),"분석포함인데 FMS 결측 ",""),"")))</f>
        <v/>
      </c>
    </row>
    <row r="5">
      <c r="A5" s="40" t="n"/>
      <c r="B5" s="50">
        <f>IF($A5="","",IFERROR(IF(INDEX('대상자_VO2max'!$B$4:$B$33,MATCH($A5,'대상자_VO2max'!$A$4:$A$33,0))="","",INDEX('대상자_VO2max'!$B$4:$B$33,MATCH($A5,'대상자_VO2max'!$A$4:$A$33,0))),"ID없음"))</f>
        <v/>
      </c>
      <c r="C5" s="50">
        <f>IF(ISNUMBER(D5),D5,IF($A5="","",IFERROR(IF(INDEX('대상자_VO2max'!$D$4:$D$33,MATCH($A5,'대상자_VO2max'!$A$4:$A$33,0))="","",INDEX('대상자_VO2max'!$D$4:$D$33,MATCH($A5,'대상자_VO2max'!$A$4:$A$33,0))),"ID없음")))</f>
        <v/>
      </c>
      <c r="D5" s="41" t="n"/>
      <c r="E5" s="40" t="n"/>
      <c r="F5" s="46" t="n"/>
      <c r="G5" s="41" t="n"/>
      <c r="H5" s="41" t="n"/>
      <c r="I5" s="41" t="n"/>
      <c r="J5" s="41" t="n"/>
      <c r="K5" s="41" t="n"/>
      <c r="L5" s="41" t="n"/>
      <c r="M5" s="41" t="n"/>
      <c r="N5" s="41" t="n"/>
      <c r="O5" s="41" t="n"/>
      <c r="P5" s="41" t="n"/>
      <c r="Q5" s="41" t="n"/>
      <c r="R5" s="41" t="n"/>
      <c r="S5" s="41" t="n"/>
      <c r="T5" s="41" t="n"/>
      <c r="U5" s="41" t="n"/>
      <c r="V5" s="45" t="n"/>
      <c r="W5" s="40" t="n"/>
      <c r="X5" s="46" t="n"/>
      <c r="Y5" s="41" t="n"/>
      <c r="Z5" s="41" t="n"/>
      <c r="AA5" s="41" t="n"/>
      <c r="AB5" s="41" t="n"/>
      <c r="AC5" s="41" t="n"/>
      <c r="AD5" s="41" t="n"/>
      <c r="AE5" s="41" t="n"/>
      <c r="AF5" s="41" t="n"/>
      <c r="AG5" s="41" t="n"/>
      <c r="AH5" s="41" t="n"/>
      <c r="AI5" s="41" t="n"/>
      <c r="AJ5" s="41" t="n"/>
      <c r="AK5" s="41" t="n"/>
      <c r="AL5" s="41" t="n"/>
      <c r="AM5" s="41" t="n"/>
      <c r="AN5" s="45" t="n"/>
      <c r="AO5" s="50">
        <f>IF(ISNUMBER(G5),G5,"")</f>
        <v/>
      </c>
      <c r="AP5" s="50">
        <f>IF(AND(ISNUMBER(H5),ISNUMBER(I5)),MIN(H5,I5),"")</f>
        <v/>
      </c>
      <c r="AQ5" s="50">
        <f>IF(AND(ISNUMBER(J5),ISNUMBER(K5)),MIN(J5,K5),"")</f>
        <v/>
      </c>
      <c r="AR5" s="50">
        <f>IF(AND(ISNUMBER(L5),ISNUMBER(M5)),IF(N5=1,0,MIN(L5,M5)),"")</f>
        <v/>
      </c>
      <c r="AS5" s="50">
        <f>IF(AND(ISNUMBER(O5),ISNUMBER(P5)),MIN(O5,P5),"")</f>
        <v/>
      </c>
      <c r="AT5" s="50">
        <f>IF(ISNUMBER(Q5),IF(R5=1,0,Q5),"")</f>
        <v/>
      </c>
      <c r="AU5" s="50">
        <f>IF(AND(ISNUMBER(S5),ISNUMBER(T5)),IF(U5=1,0,MIN(S5,T5)),"")</f>
        <v/>
      </c>
      <c r="AV5" s="50">
        <f>IF(COUNT(AO5:AU5)=7,SUM(AO5:AU5),"")</f>
        <v/>
      </c>
      <c r="AW5" s="50">
        <f>IF(ISNUMBER(AV5),--(H5&lt;&gt;I5)+--(J5&lt;&gt;K5)+--(L5&lt;&gt;M5)+--(O5&lt;&gt;P5)+--(S5&lt;&gt;T5),"")</f>
        <v/>
      </c>
      <c r="AX5" s="50">
        <f>IF(ISNUMBER(AV5),COUNT(N5,R5,U5),"")</f>
        <v/>
      </c>
      <c r="AY5" s="50">
        <f>IF(ISNUMBER(Y5),Y5,"")</f>
        <v/>
      </c>
      <c r="AZ5" s="50">
        <f>IF(AND(ISNUMBER(Z5),ISNUMBER(AA5)),MIN(Z5,AA5),"")</f>
        <v/>
      </c>
      <c r="BA5" s="50">
        <f>IF(AND(ISNUMBER(AB5),ISNUMBER(AC5)),MIN(AB5,AC5),"")</f>
        <v/>
      </c>
      <c r="BB5" s="50">
        <f>IF(AND(ISNUMBER(AD5),ISNUMBER(AE5)),IF(AF5=1,0,MIN(AD5,AE5)),"")</f>
        <v/>
      </c>
      <c r="BC5" s="50">
        <f>IF(AND(ISNUMBER(AG5),ISNUMBER(AH5)),MIN(AG5,AH5),"")</f>
        <v/>
      </c>
      <c r="BD5" s="50">
        <f>IF(ISNUMBER(AI5),IF(AJ5=1,0,AI5),"")</f>
        <v/>
      </c>
      <c r="BE5" s="50">
        <f>IF(AND(ISNUMBER(AK5),ISNUMBER(AL5)),IF(AM5=1,0,MIN(AK5,AL5)),"")</f>
        <v/>
      </c>
      <c r="BF5" s="50">
        <f>IF(COUNT(AY5:BE5)=7,SUM(AY5:BE5),"")</f>
        <v/>
      </c>
      <c r="BG5" s="50">
        <f>IF(ISNUMBER(BF5),--(Z5&lt;&gt;AA5)+--(AB5&lt;&gt;AC5)+--(AD5&lt;&gt;AE5)+--(AG5&lt;&gt;AH5)+--(AK5&lt;&gt;AL5),"")</f>
        <v/>
      </c>
      <c r="BH5" s="50">
        <f>IF(ISNUMBER(BF5),COUNT(AF5,AJ5,AM5),"")</f>
        <v/>
      </c>
      <c r="BI5" s="47">
        <f>IF(ISNUMBER(AV5),AV5,IF(ISNUMBER(V5),V5,""))</f>
        <v/>
      </c>
      <c r="BJ5" s="47">
        <f>IF(ISNUMBER(BF5),BF5,IF(ISNUMBER(AN5),AN5,""))</f>
        <v/>
      </c>
      <c r="BK5" s="47">
        <f>IF(AND(ISNUMBER(BI5),ISNUMBER(BJ5)),BJ5-BI5,"")</f>
        <v/>
      </c>
      <c r="BL5" s="42">
        <f>IF(ISNUMBER(AV5),"하위항목",IF(ISNUMBER(V5),"SPSS총점",""))</f>
        <v/>
      </c>
      <c r="BM5" s="42">
        <f>IF(ISNUMBER(BF5),"하위항목",IF(ISNUMBER(AN5),"SPSS총점",""))</f>
        <v/>
      </c>
      <c r="BN5" s="50">
        <f>IF($A5="","",IFERROR(IF(ISNUMBER(INDEX('FMS_평가자2'!$AP$4:$AP$33,MATCH($A5,'FMS_평가자2'!$A$4:$A$33,0))),INDEX('FMS_평가자2'!$AP$4:$AP$33,MATCH($A5,'FMS_평가자2'!$A$4:$A$33,0)),""),""))</f>
        <v/>
      </c>
      <c r="BO5" s="50">
        <f>IF($A5="","",IFERROR(IF(ISNUMBER(INDEX('FMS_평가자2'!$AY$4:$AY$33,MATCH($A5,'FMS_평가자2'!$A$4:$A$33,0))),INDEX('FMS_평가자2'!$AY$4:$AY$33,MATCH($A5,'FMS_평가자2'!$A$4:$A$33,0)),""),""))</f>
        <v/>
      </c>
      <c r="BP5" s="47">
        <f>IF(AND(ISNUMBER(AV5),ISNUMBER(BN5)),(AV5+BN5)/2,"")</f>
        <v/>
      </c>
      <c r="BQ5" s="47">
        <f>IF(AND(ISNUMBER(BF5),ISNUMBER(BO5)),(BF5+BO5)/2,"")</f>
        <v/>
      </c>
      <c r="BR5" s="47">
        <f>IF(AND(ISNUMBER(BP5),ISNUMBER(BQ5)),BQ5-BP5,"")</f>
        <v/>
      </c>
      <c r="BS5" s="51">
        <f>IF(A5="","",TRIM(IF(B5="ID없음","대상자_VO2max 시트에 없는 ID ","")&amp;IF(LEN(A5)&lt;&gt;LEN(TRIM(A5)),"ID 앞뒤 공백 ","")&amp;IF(COUNTIF($A$4:$A$33,A5)&gt;1,"ID 중복 ","")&amp;IF(AND(B5&lt;&gt;"ID없음",OR(B5="",AND(B5&lt;&gt;1,B5&lt;&gt;2))),"집단 코드 확인(대상자 시트) ","")&amp;IF(AND(B5&lt;&gt;"ID없음",OR(C5="",AND(C5&lt;&gt;0,C5&lt;&gt;1))),"분석포함 코드 확인 ","")&amp;IF(AND(COUNT(G5,H5,I5,J5,K5,L5,M5,O5,P5,Q5,S5,T5)&gt;0,COUNT(G5,H5,I5,J5,K5,L5,M5,O5,P5,Q5,S5,T5)&lt;12),"사전 동작점수 일부 빈칸 ","")&amp;IF(AND(COUNT(Y5,Z5,AA5,AB5,AC5,AD5,AE5,AG5,AH5,AI5,AK5,AL5)&gt;0,COUNT(Y5,Z5,AA5,AB5,AC5,AD5,AE5,AG5,AH5,AI5,AK5,AL5)&lt;12),"사후 동작점수 일부 빈칸 ","")&amp;IF(AND(V5&lt;&gt;"",NOT(ISNUMBER(V5))),"사전 SPSS총점 숫자 아님 ","")&amp;IF(AND(AN5&lt;&gt;"",NOT(ISNUMBER(AN5))),"사후 SPSS총점 숫자 아님 ","")&amp;IF(AND(ISNUMBER(AV5),ISNUMBER(V5)),IF(AV5&lt;&gt;V5,"사전: 계산총점≠SPSS총점 ",""),"")&amp;IF(ISNUMBER(BI5),IF(BI5&lt;&gt;INT(BI5),"사전 총점 정수 아님 ",""),"")&amp;IF(ISNUMBER(BI5),IF(OR(BI5&lt;0,BI5&gt;21),"사전 총점 범위(0–21) 밖 ",""),"")&amp;IF(AND(ISNUMBER(BF5),ISNUMBER(AN5)),IF(BF5&lt;&gt;AN5,"사후: 계산총점≠SPSS총점 ",""),"")&amp;IF(ISNUMBER(BJ5),IF(BJ5&lt;&gt;INT(BJ5),"사후 총점 정수 아님 ",""),"")&amp;IF(ISNUMBER(BJ5),IF(OR(BJ5&lt;0,BJ5&gt;21),"사후 총점 범위(0–21) 밖 ",""),"")&amp;IF(C5=1,IF(OR(NOT(ISNUMBER(BI5)),NOT(ISNUMBER(BJ5))),"분석포함인데 FMS 결측 ",""),"")))</f>
        <v/>
      </c>
    </row>
    <row r="6">
      <c r="A6" s="40" t="n"/>
      <c r="B6" s="50">
        <f>IF($A6="","",IFERROR(IF(INDEX('대상자_VO2max'!$B$4:$B$33,MATCH($A6,'대상자_VO2max'!$A$4:$A$33,0))="","",INDEX('대상자_VO2max'!$B$4:$B$33,MATCH($A6,'대상자_VO2max'!$A$4:$A$33,0))),"ID없음"))</f>
        <v/>
      </c>
      <c r="C6" s="50">
        <f>IF(ISNUMBER(D6),D6,IF($A6="","",IFERROR(IF(INDEX('대상자_VO2max'!$D$4:$D$33,MATCH($A6,'대상자_VO2max'!$A$4:$A$33,0))="","",INDEX('대상자_VO2max'!$D$4:$D$33,MATCH($A6,'대상자_VO2max'!$A$4:$A$33,0))),"ID없음")))</f>
        <v/>
      </c>
      <c r="D6" s="41" t="n"/>
      <c r="E6" s="40" t="n"/>
      <c r="F6" s="46" t="n"/>
      <c r="G6" s="41" t="n"/>
      <c r="H6" s="41" t="n"/>
      <c r="I6" s="41" t="n"/>
      <c r="J6" s="41" t="n"/>
      <c r="K6" s="41" t="n"/>
      <c r="L6" s="41" t="n"/>
      <c r="M6" s="41" t="n"/>
      <c r="N6" s="41" t="n"/>
      <c r="O6" s="41" t="n"/>
      <c r="P6" s="41" t="n"/>
      <c r="Q6" s="41" t="n"/>
      <c r="R6" s="41" t="n"/>
      <c r="S6" s="41" t="n"/>
      <c r="T6" s="41" t="n"/>
      <c r="U6" s="41" t="n"/>
      <c r="V6" s="45" t="n"/>
      <c r="W6" s="40" t="n"/>
      <c r="X6" s="46" t="n"/>
      <c r="Y6" s="41" t="n"/>
      <c r="Z6" s="41" t="n"/>
      <c r="AA6" s="41" t="n"/>
      <c r="AB6" s="41" t="n"/>
      <c r="AC6" s="41" t="n"/>
      <c r="AD6" s="41" t="n"/>
      <c r="AE6" s="41" t="n"/>
      <c r="AF6" s="41" t="n"/>
      <c r="AG6" s="41" t="n"/>
      <c r="AH6" s="41" t="n"/>
      <c r="AI6" s="41" t="n"/>
      <c r="AJ6" s="41" t="n"/>
      <c r="AK6" s="41" t="n"/>
      <c r="AL6" s="41" t="n"/>
      <c r="AM6" s="41" t="n"/>
      <c r="AN6" s="45" t="n"/>
      <c r="AO6" s="50">
        <f>IF(ISNUMBER(G6),G6,"")</f>
        <v/>
      </c>
      <c r="AP6" s="50">
        <f>IF(AND(ISNUMBER(H6),ISNUMBER(I6)),MIN(H6,I6),"")</f>
        <v/>
      </c>
      <c r="AQ6" s="50">
        <f>IF(AND(ISNUMBER(J6),ISNUMBER(K6)),MIN(J6,K6),"")</f>
        <v/>
      </c>
      <c r="AR6" s="50">
        <f>IF(AND(ISNUMBER(L6),ISNUMBER(M6)),IF(N6=1,0,MIN(L6,M6)),"")</f>
        <v/>
      </c>
      <c r="AS6" s="50">
        <f>IF(AND(ISNUMBER(O6),ISNUMBER(P6)),MIN(O6,P6),"")</f>
        <v/>
      </c>
      <c r="AT6" s="50">
        <f>IF(ISNUMBER(Q6),IF(R6=1,0,Q6),"")</f>
        <v/>
      </c>
      <c r="AU6" s="50">
        <f>IF(AND(ISNUMBER(S6),ISNUMBER(T6)),IF(U6=1,0,MIN(S6,T6)),"")</f>
        <v/>
      </c>
      <c r="AV6" s="50">
        <f>IF(COUNT(AO6:AU6)=7,SUM(AO6:AU6),"")</f>
        <v/>
      </c>
      <c r="AW6" s="50">
        <f>IF(ISNUMBER(AV6),--(H6&lt;&gt;I6)+--(J6&lt;&gt;K6)+--(L6&lt;&gt;M6)+--(O6&lt;&gt;P6)+--(S6&lt;&gt;T6),"")</f>
        <v/>
      </c>
      <c r="AX6" s="50">
        <f>IF(ISNUMBER(AV6),COUNT(N6,R6,U6),"")</f>
        <v/>
      </c>
      <c r="AY6" s="50">
        <f>IF(ISNUMBER(Y6),Y6,"")</f>
        <v/>
      </c>
      <c r="AZ6" s="50">
        <f>IF(AND(ISNUMBER(Z6),ISNUMBER(AA6)),MIN(Z6,AA6),"")</f>
        <v/>
      </c>
      <c r="BA6" s="50">
        <f>IF(AND(ISNUMBER(AB6),ISNUMBER(AC6)),MIN(AB6,AC6),"")</f>
        <v/>
      </c>
      <c r="BB6" s="50">
        <f>IF(AND(ISNUMBER(AD6),ISNUMBER(AE6)),IF(AF6=1,0,MIN(AD6,AE6)),"")</f>
        <v/>
      </c>
      <c r="BC6" s="50">
        <f>IF(AND(ISNUMBER(AG6),ISNUMBER(AH6)),MIN(AG6,AH6),"")</f>
        <v/>
      </c>
      <c r="BD6" s="50">
        <f>IF(ISNUMBER(AI6),IF(AJ6=1,0,AI6),"")</f>
        <v/>
      </c>
      <c r="BE6" s="50">
        <f>IF(AND(ISNUMBER(AK6),ISNUMBER(AL6)),IF(AM6=1,0,MIN(AK6,AL6)),"")</f>
        <v/>
      </c>
      <c r="BF6" s="50">
        <f>IF(COUNT(AY6:BE6)=7,SUM(AY6:BE6),"")</f>
        <v/>
      </c>
      <c r="BG6" s="50">
        <f>IF(ISNUMBER(BF6),--(Z6&lt;&gt;AA6)+--(AB6&lt;&gt;AC6)+--(AD6&lt;&gt;AE6)+--(AG6&lt;&gt;AH6)+--(AK6&lt;&gt;AL6),"")</f>
        <v/>
      </c>
      <c r="BH6" s="50">
        <f>IF(ISNUMBER(BF6),COUNT(AF6,AJ6,AM6),"")</f>
        <v/>
      </c>
      <c r="BI6" s="47">
        <f>IF(ISNUMBER(AV6),AV6,IF(ISNUMBER(V6),V6,""))</f>
        <v/>
      </c>
      <c r="BJ6" s="47">
        <f>IF(ISNUMBER(BF6),BF6,IF(ISNUMBER(AN6),AN6,""))</f>
        <v/>
      </c>
      <c r="BK6" s="47">
        <f>IF(AND(ISNUMBER(BI6),ISNUMBER(BJ6)),BJ6-BI6,"")</f>
        <v/>
      </c>
      <c r="BL6" s="42">
        <f>IF(ISNUMBER(AV6),"하위항목",IF(ISNUMBER(V6),"SPSS총점",""))</f>
        <v/>
      </c>
      <c r="BM6" s="42">
        <f>IF(ISNUMBER(BF6),"하위항목",IF(ISNUMBER(AN6),"SPSS총점",""))</f>
        <v/>
      </c>
      <c r="BN6" s="50">
        <f>IF($A6="","",IFERROR(IF(ISNUMBER(INDEX('FMS_평가자2'!$AP$4:$AP$33,MATCH($A6,'FMS_평가자2'!$A$4:$A$33,0))),INDEX('FMS_평가자2'!$AP$4:$AP$33,MATCH($A6,'FMS_평가자2'!$A$4:$A$33,0)),""),""))</f>
        <v/>
      </c>
      <c r="BO6" s="50">
        <f>IF($A6="","",IFERROR(IF(ISNUMBER(INDEX('FMS_평가자2'!$AY$4:$AY$33,MATCH($A6,'FMS_평가자2'!$A$4:$A$33,0))),INDEX('FMS_평가자2'!$AY$4:$AY$33,MATCH($A6,'FMS_평가자2'!$A$4:$A$33,0)),""),""))</f>
        <v/>
      </c>
      <c r="BP6" s="47">
        <f>IF(AND(ISNUMBER(AV6),ISNUMBER(BN6)),(AV6+BN6)/2,"")</f>
        <v/>
      </c>
      <c r="BQ6" s="47">
        <f>IF(AND(ISNUMBER(BF6),ISNUMBER(BO6)),(BF6+BO6)/2,"")</f>
        <v/>
      </c>
      <c r="BR6" s="47">
        <f>IF(AND(ISNUMBER(BP6),ISNUMBER(BQ6)),BQ6-BP6,"")</f>
        <v/>
      </c>
      <c r="BS6" s="51">
        <f>IF(A6="","",TRIM(IF(B6="ID없음","대상자_VO2max 시트에 없는 ID ","")&amp;IF(LEN(A6)&lt;&gt;LEN(TRIM(A6)),"ID 앞뒤 공백 ","")&amp;IF(COUNTIF($A$4:$A$33,A6)&gt;1,"ID 중복 ","")&amp;IF(AND(B6&lt;&gt;"ID없음",OR(B6="",AND(B6&lt;&gt;1,B6&lt;&gt;2))),"집단 코드 확인(대상자 시트) ","")&amp;IF(AND(B6&lt;&gt;"ID없음",OR(C6="",AND(C6&lt;&gt;0,C6&lt;&gt;1))),"분석포함 코드 확인 ","")&amp;IF(AND(COUNT(G6,H6,I6,J6,K6,L6,M6,O6,P6,Q6,S6,T6)&gt;0,COUNT(G6,H6,I6,J6,K6,L6,M6,O6,P6,Q6,S6,T6)&lt;12),"사전 동작점수 일부 빈칸 ","")&amp;IF(AND(COUNT(Y6,Z6,AA6,AB6,AC6,AD6,AE6,AG6,AH6,AI6,AK6,AL6)&gt;0,COUNT(Y6,Z6,AA6,AB6,AC6,AD6,AE6,AG6,AH6,AI6,AK6,AL6)&lt;12),"사후 동작점수 일부 빈칸 ","")&amp;IF(AND(V6&lt;&gt;"",NOT(ISNUMBER(V6))),"사전 SPSS총점 숫자 아님 ","")&amp;IF(AND(AN6&lt;&gt;"",NOT(ISNUMBER(AN6))),"사후 SPSS총점 숫자 아님 ","")&amp;IF(AND(ISNUMBER(AV6),ISNUMBER(V6)),IF(AV6&lt;&gt;V6,"사전: 계산총점≠SPSS총점 ",""),"")&amp;IF(ISNUMBER(BI6),IF(BI6&lt;&gt;INT(BI6),"사전 총점 정수 아님 ",""),"")&amp;IF(ISNUMBER(BI6),IF(OR(BI6&lt;0,BI6&gt;21),"사전 총점 범위(0–21) 밖 ",""),"")&amp;IF(AND(ISNUMBER(BF6),ISNUMBER(AN6)),IF(BF6&lt;&gt;AN6,"사후: 계산총점≠SPSS총점 ",""),"")&amp;IF(ISNUMBER(BJ6),IF(BJ6&lt;&gt;INT(BJ6),"사후 총점 정수 아님 ",""),"")&amp;IF(ISNUMBER(BJ6),IF(OR(BJ6&lt;0,BJ6&gt;21),"사후 총점 범위(0–21) 밖 ",""),"")&amp;IF(C6=1,IF(OR(NOT(ISNUMBER(BI6)),NOT(ISNUMBER(BJ6))),"분석포함인데 FMS 결측 ",""),"")))</f>
        <v/>
      </c>
    </row>
    <row r="7">
      <c r="A7" s="40" t="n"/>
      <c r="B7" s="50">
        <f>IF($A7="","",IFERROR(IF(INDEX('대상자_VO2max'!$B$4:$B$33,MATCH($A7,'대상자_VO2max'!$A$4:$A$33,0))="","",INDEX('대상자_VO2max'!$B$4:$B$33,MATCH($A7,'대상자_VO2max'!$A$4:$A$33,0))),"ID없음"))</f>
        <v/>
      </c>
      <c r="C7" s="50">
        <f>IF(ISNUMBER(D7),D7,IF($A7="","",IFERROR(IF(INDEX('대상자_VO2max'!$D$4:$D$33,MATCH($A7,'대상자_VO2max'!$A$4:$A$33,0))="","",INDEX('대상자_VO2max'!$D$4:$D$33,MATCH($A7,'대상자_VO2max'!$A$4:$A$33,0))),"ID없음")))</f>
        <v/>
      </c>
      <c r="D7" s="41" t="n"/>
      <c r="E7" s="40" t="n"/>
      <c r="F7" s="46" t="n"/>
      <c r="G7" s="41" t="n"/>
      <c r="H7" s="41" t="n"/>
      <c r="I7" s="41" t="n"/>
      <c r="J7" s="41" t="n"/>
      <c r="K7" s="41" t="n"/>
      <c r="L7" s="41" t="n"/>
      <c r="M7" s="41" t="n"/>
      <c r="N7" s="41" t="n"/>
      <c r="O7" s="41" t="n"/>
      <c r="P7" s="41" t="n"/>
      <c r="Q7" s="41" t="n"/>
      <c r="R7" s="41" t="n"/>
      <c r="S7" s="41" t="n"/>
      <c r="T7" s="41" t="n"/>
      <c r="U7" s="41" t="n"/>
      <c r="V7" s="45" t="n"/>
      <c r="W7" s="40" t="n"/>
      <c r="X7" s="46" t="n"/>
      <c r="Y7" s="41" t="n"/>
      <c r="Z7" s="41" t="n"/>
      <c r="AA7" s="41" t="n"/>
      <c r="AB7" s="41" t="n"/>
      <c r="AC7" s="41" t="n"/>
      <c r="AD7" s="41" t="n"/>
      <c r="AE7" s="41" t="n"/>
      <c r="AF7" s="41" t="n"/>
      <c r="AG7" s="41" t="n"/>
      <c r="AH7" s="41" t="n"/>
      <c r="AI7" s="41" t="n"/>
      <c r="AJ7" s="41" t="n"/>
      <c r="AK7" s="41" t="n"/>
      <c r="AL7" s="41" t="n"/>
      <c r="AM7" s="41" t="n"/>
      <c r="AN7" s="45" t="n"/>
      <c r="AO7" s="50">
        <f>IF(ISNUMBER(G7),G7,"")</f>
        <v/>
      </c>
      <c r="AP7" s="50">
        <f>IF(AND(ISNUMBER(H7),ISNUMBER(I7)),MIN(H7,I7),"")</f>
        <v/>
      </c>
      <c r="AQ7" s="50">
        <f>IF(AND(ISNUMBER(J7),ISNUMBER(K7)),MIN(J7,K7),"")</f>
        <v/>
      </c>
      <c r="AR7" s="50">
        <f>IF(AND(ISNUMBER(L7),ISNUMBER(M7)),IF(N7=1,0,MIN(L7,M7)),"")</f>
        <v/>
      </c>
      <c r="AS7" s="50">
        <f>IF(AND(ISNUMBER(O7),ISNUMBER(P7)),MIN(O7,P7),"")</f>
        <v/>
      </c>
      <c r="AT7" s="50">
        <f>IF(ISNUMBER(Q7),IF(R7=1,0,Q7),"")</f>
        <v/>
      </c>
      <c r="AU7" s="50">
        <f>IF(AND(ISNUMBER(S7),ISNUMBER(T7)),IF(U7=1,0,MIN(S7,T7)),"")</f>
        <v/>
      </c>
      <c r="AV7" s="50">
        <f>IF(COUNT(AO7:AU7)=7,SUM(AO7:AU7),"")</f>
        <v/>
      </c>
      <c r="AW7" s="50">
        <f>IF(ISNUMBER(AV7),--(H7&lt;&gt;I7)+--(J7&lt;&gt;K7)+--(L7&lt;&gt;M7)+--(O7&lt;&gt;P7)+--(S7&lt;&gt;T7),"")</f>
        <v/>
      </c>
      <c r="AX7" s="50">
        <f>IF(ISNUMBER(AV7),COUNT(N7,R7,U7),"")</f>
        <v/>
      </c>
      <c r="AY7" s="50">
        <f>IF(ISNUMBER(Y7),Y7,"")</f>
        <v/>
      </c>
      <c r="AZ7" s="50">
        <f>IF(AND(ISNUMBER(Z7),ISNUMBER(AA7)),MIN(Z7,AA7),"")</f>
        <v/>
      </c>
      <c r="BA7" s="50">
        <f>IF(AND(ISNUMBER(AB7),ISNUMBER(AC7)),MIN(AB7,AC7),"")</f>
        <v/>
      </c>
      <c r="BB7" s="50">
        <f>IF(AND(ISNUMBER(AD7),ISNUMBER(AE7)),IF(AF7=1,0,MIN(AD7,AE7)),"")</f>
        <v/>
      </c>
      <c r="BC7" s="50">
        <f>IF(AND(ISNUMBER(AG7),ISNUMBER(AH7)),MIN(AG7,AH7),"")</f>
        <v/>
      </c>
      <c r="BD7" s="50">
        <f>IF(ISNUMBER(AI7),IF(AJ7=1,0,AI7),"")</f>
        <v/>
      </c>
      <c r="BE7" s="50">
        <f>IF(AND(ISNUMBER(AK7),ISNUMBER(AL7)),IF(AM7=1,0,MIN(AK7,AL7)),"")</f>
        <v/>
      </c>
      <c r="BF7" s="50">
        <f>IF(COUNT(AY7:BE7)=7,SUM(AY7:BE7),"")</f>
        <v/>
      </c>
      <c r="BG7" s="50">
        <f>IF(ISNUMBER(BF7),--(Z7&lt;&gt;AA7)+--(AB7&lt;&gt;AC7)+--(AD7&lt;&gt;AE7)+--(AG7&lt;&gt;AH7)+--(AK7&lt;&gt;AL7),"")</f>
        <v/>
      </c>
      <c r="BH7" s="50">
        <f>IF(ISNUMBER(BF7),COUNT(AF7,AJ7,AM7),"")</f>
        <v/>
      </c>
      <c r="BI7" s="47">
        <f>IF(ISNUMBER(AV7),AV7,IF(ISNUMBER(V7),V7,""))</f>
        <v/>
      </c>
      <c r="BJ7" s="47">
        <f>IF(ISNUMBER(BF7),BF7,IF(ISNUMBER(AN7),AN7,""))</f>
        <v/>
      </c>
      <c r="BK7" s="47">
        <f>IF(AND(ISNUMBER(BI7),ISNUMBER(BJ7)),BJ7-BI7,"")</f>
        <v/>
      </c>
      <c r="BL7" s="42">
        <f>IF(ISNUMBER(AV7),"하위항목",IF(ISNUMBER(V7),"SPSS총점",""))</f>
        <v/>
      </c>
      <c r="BM7" s="42">
        <f>IF(ISNUMBER(BF7),"하위항목",IF(ISNUMBER(AN7),"SPSS총점",""))</f>
        <v/>
      </c>
      <c r="BN7" s="50">
        <f>IF($A7="","",IFERROR(IF(ISNUMBER(INDEX('FMS_평가자2'!$AP$4:$AP$33,MATCH($A7,'FMS_평가자2'!$A$4:$A$33,0))),INDEX('FMS_평가자2'!$AP$4:$AP$33,MATCH($A7,'FMS_평가자2'!$A$4:$A$33,0)),""),""))</f>
        <v/>
      </c>
      <c r="BO7" s="50">
        <f>IF($A7="","",IFERROR(IF(ISNUMBER(INDEX('FMS_평가자2'!$AY$4:$AY$33,MATCH($A7,'FMS_평가자2'!$A$4:$A$33,0))),INDEX('FMS_평가자2'!$AY$4:$AY$33,MATCH($A7,'FMS_평가자2'!$A$4:$A$33,0)),""),""))</f>
        <v/>
      </c>
      <c r="BP7" s="47">
        <f>IF(AND(ISNUMBER(AV7),ISNUMBER(BN7)),(AV7+BN7)/2,"")</f>
        <v/>
      </c>
      <c r="BQ7" s="47">
        <f>IF(AND(ISNUMBER(BF7),ISNUMBER(BO7)),(BF7+BO7)/2,"")</f>
        <v/>
      </c>
      <c r="BR7" s="47">
        <f>IF(AND(ISNUMBER(BP7),ISNUMBER(BQ7)),BQ7-BP7,"")</f>
        <v/>
      </c>
      <c r="BS7" s="51">
        <f>IF(A7="","",TRIM(IF(B7="ID없음","대상자_VO2max 시트에 없는 ID ","")&amp;IF(LEN(A7)&lt;&gt;LEN(TRIM(A7)),"ID 앞뒤 공백 ","")&amp;IF(COUNTIF($A$4:$A$33,A7)&gt;1,"ID 중복 ","")&amp;IF(AND(B7&lt;&gt;"ID없음",OR(B7="",AND(B7&lt;&gt;1,B7&lt;&gt;2))),"집단 코드 확인(대상자 시트) ","")&amp;IF(AND(B7&lt;&gt;"ID없음",OR(C7="",AND(C7&lt;&gt;0,C7&lt;&gt;1))),"분석포함 코드 확인 ","")&amp;IF(AND(COUNT(G7,H7,I7,J7,K7,L7,M7,O7,P7,Q7,S7,T7)&gt;0,COUNT(G7,H7,I7,J7,K7,L7,M7,O7,P7,Q7,S7,T7)&lt;12),"사전 동작점수 일부 빈칸 ","")&amp;IF(AND(COUNT(Y7,Z7,AA7,AB7,AC7,AD7,AE7,AG7,AH7,AI7,AK7,AL7)&gt;0,COUNT(Y7,Z7,AA7,AB7,AC7,AD7,AE7,AG7,AH7,AI7,AK7,AL7)&lt;12),"사후 동작점수 일부 빈칸 ","")&amp;IF(AND(V7&lt;&gt;"",NOT(ISNUMBER(V7))),"사전 SPSS총점 숫자 아님 ","")&amp;IF(AND(AN7&lt;&gt;"",NOT(ISNUMBER(AN7))),"사후 SPSS총점 숫자 아님 ","")&amp;IF(AND(ISNUMBER(AV7),ISNUMBER(V7)),IF(AV7&lt;&gt;V7,"사전: 계산총점≠SPSS총점 ",""),"")&amp;IF(ISNUMBER(BI7),IF(BI7&lt;&gt;INT(BI7),"사전 총점 정수 아님 ",""),"")&amp;IF(ISNUMBER(BI7),IF(OR(BI7&lt;0,BI7&gt;21),"사전 총점 범위(0–21) 밖 ",""),"")&amp;IF(AND(ISNUMBER(BF7),ISNUMBER(AN7)),IF(BF7&lt;&gt;AN7,"사후: 계산총점≠SPSS총점 ",""),"")&amp;IF(ISNUMBER(BJ7),IF(BJ7&lt;&gt;INT(BJ7),"사후 총점 정수 아님 ",""),"")&amp;IF(ISNUMBER(BJ7),IF(OR(BJ7&lt;0,BJ7&gt;21),"사후 총점 범위(0–21) 밖 ",""),"")&amp;IF(C7=1,IF(OR(NOT(ISNUMBER(BI7)),NOT(ISNUMBER(BJ7))),"분석포함인데 FMS 결측 ",""),"")))</f>
        <v/>
      </c>
    </row>
    <row r="8">
      <c r="A8" s="40" t="n"/>
      <c r="B8" s="50">
        <f>IF($A8="","",IFERROR(IF(INDEX('대상자_VO2max'!$B$4:$B$33,MATCH($A8,'대상자_VO2max'!$A$4:$A$33,0))="","",INDEX('대상자_VO2max'!$B$4:$B$33,MATCH($A8,'대상자_VO2max'!$A$4:$A$33,0))),"ID없음"))</f>
        <v/>
      </c>
      <c r="C8" s="50">
        <f>IF(ISNUMBER(D8),D8,IF($A8="","",IFERROR(IF(INDEX('대상자_VO2max'!$D$4:$D$33,MATCH($A8,'대상자_VO2max'!$A$4:$A$33,0))="","",INDEX('대상자_VO2max'!$D$4:$D$33,MATCH($A8,'대상자_VO2max'!$A$4:$A$33,0))),"ID없음")))</f>
        <v/>
      </c>
      <c r="D8" s="41" t="n"/>
      <c r="E8" s="40" t="n"/>
      <c r="F8" s="46" t="n"/>
      <c r="G8" s="41" t="n"/>
      <c r="H8" s="41" t="n"/>
      <c r="I8" s="41" t="n"/>
      <c r="J8" s="41" t="n"/>
      <c r="K8" s="41" t="n"/>
      <c r="L8" s="41" t="n"/>
      <c r="M8" s="41" t="n"/>
      <c r="N8" s="41" t="n"/>
      <c r="O8" s="41" t="n"/>
      <c r="P8" s="41" t="n"/>
      <c r="Q8" s="41" t="n"/>
      <c r="R8" s="41" t="n"/>
      <c r="S8" s="41" t="n"/>
      <c r="T8" s="41" t="n"/>
      <c r="U8" s="41" t="n"/>
      <c r="V8" s="45" t="n"/>
      <c r="W8" s="40" t="n"/>
      <c r="X8" s="46" t="n"/>
      <c r="Y8" s="41" t="n"/>
      <c r="Z8" s="41" t="n"/>
      <c r="AA8" s="41" t="n"/>
      <c r="AB8" s="41" t="n"/>
      <c r="AC8" s="41" t="n"/>
      <c r="AD8" s="41" t="n"/>
      <c r="AE8" s="41" t="n"/>
      <c r="AF8" s="41" t="n"/>
      <c r="AG8" s="41" t="n"/>
      <c r="AH8" s="41" t="n"/>
      <c r="AI8" s="41" t="n"/>
      <c r="AJ8" s="41" t="n"/>
      <c r="AK8" s="41" t="n"/>
      <c r="AL8" s="41" t="n"/>
      <c r="AM8" s="41" t="n"/>
      <c r="AN8" s="45" t="n"/>
      <c r="AO8" s="50">
        <f>IF(ISNUMBER(G8),G8,"")</f>
        <v/>
      </c>
      <c r="AP8" s="50">
        <f>IF(AND(ISNUMBER(H8),ISNUMBER(I8)),MIN(H8,I8),"")</f>
        <v/>
      </c>
      <c r="AQ8" s="50">
        <f>IF(AND(ISNUMBER(J8),ISNUMBER(K8)),MIN(J8,K8),"")</f>
        <v/>
      </c>
      <c r="AR8" s="50">
        <f>IF(AND(ISNUMBER(L8),ISNUMBER(M8)),IF(N8=1,0,MIN(L8,M8)),"")</f>
        <v/>
      </c>
      <c r="AS8" s="50">
        <f>IF(AND(ISNUMBER(O8),ISNUMBER(P8)),MIN(O8,P8),"")</f>
        <v/>
      </c>
      <c r="AT8" s="50">
        <f>IF(ISNUMBER(Q8),IF(R8=1,0,Q8),"")</f>
        <v/>
      </c>
      <c r="AU8" s="50">
        <f>IF(AND(ISNUMBER(S8),ISNUMBER(T8)),IF(U8=1,0,MIN(S8,T8)),"")</f>
        <v/>
      </c>
      <c r="AV8" s="50">
        <f>IF(COUNT(AO8:AU8)=7,SUM(AO8:AU8),"")</f>
        <v/>
      </c>
      <c r="AW8" s="50">
        <f>IF(ISNUMBER(AV8),--(H8&lt;&gt;I8)+--(J8&lt;&gt;K8)+--(L8&lt;&gt;M8)+--(O8&lt;&gt;P8)+--(S8&lt;&gt;T8),"")</f>
        <v/>
      </c>
      <c r="AX8" s="50">
        <f>IF(ISNUMBER(AV8),COUNT(N8,R8,U8),"")</f>
        <v/>
      </c>
      <c r="AY8" s="50">
        <f>IF(ISNUMBER(Y8),Y8,"")</f>
        <v/>
      </c>
      <c r="AZ8" s="50">
        <f>IF(AND(ISNUMBER(Z8),ISNUMBER(AA8)),MIN(Z8,AA8),"")</f>
        <v/>
      </c>
      <c r="BA8" s="50">
        <f>IF(AND(ISNUMBER(AB8),ISNUMBER(AC8)),MIN(AB8,AC8),"")</f>
        <v/>
      </c>
      <c r="BB8" s="50">
        <f>IF(AND(ISNUMBER(AD8),ISNUMBER(AE8)),IF(AF8=1,0,MIN(AD8,AE8)),"")</f>
        <v/>
      </c>
      <c r="BC8" s="50">
        <f>IF(AND(ISNUMBER(AG8),ISNUMBER(AH8)),MIN(AG8,AH8),"")</f>
        <v/>
      </c>
      <c r="BD8" s="50">
        <f>IF(ISNUMBER(AI8),IF(AJ8=1,0,AI8),"")</f>
        <v/>
      </c>
      <c r="BE8" s="50">
        <f>IF(AND(ISNUMBER(AK8),ISNUMBER(AL8)),IF(AM8=1,0,MIN(AK8,AL8)),"")</f>
        <v/>
      </c>
      <c r="BF8" s="50">
        <f>IF(COUNT(AY8:BE8)=7,SUM(AY8:BE8),"")</f>
        <v/>
      </c>
      <c r="BG8" s="50">
        <f>IF(ISNUMBER(BF8),--(Z8&lt;&gt;AA8)+--(AB8&lt;&gt;AC8)+--(AD8&lt;&gt;AE8)+--(AG8&lt;&gt;AH8)+--(AK8&lt;&gt;AL8),"")</f>
        <v/>
      </c>
      <c r="BH8" s="50">
        <f>IF(ISNUMBER(BF8),COUNT(AF8,AJ8,AM8),"")</f>
        <v/>
      </c>
      <c r="BI8" s="47">
        <f>IF(ISNUMBER(AV8),AV8,IF(ISNUMBER(V8),V8,""))</f>
        <v/>
      </c>
      <c r="BJ8" s="47">
        <f>IF(ISNUMBER(BF8),BF8,IF(ISNUMBER(AN8),AN8,""))</f>
        <v/>
      </c>
      <c r="BK8" s="47">
        <f>IF(AND(ISNUMBER(BI8),ISNUMBER(BJ8)),BJ8-BI8,"")</f>
        <v/>
      </c>
      <c r="BL8" s="42">
        <f>IF(ISNUMBER(AV8),"하위항목",IF(ISNUMBER(V8),"SPSS총점",""))</f>
        <v/>
      </c>
      <c r="BM8" s="42">
        <f>IF(ISNUMBER(BF8),"하위항목",IF(ISNUMBER(AN8),"SPSS총점",""))</f>
        <v/>
      </c>
      <c r="BN8" s="50">
        <f>IF($A8="","",IFERROR(IF(ISNUMBER(INDEX('FMS_평가자2'!$AP$4:$AP$33,MATCH($A8,'FMS_평가자2'!$A$4:$A$33,0))),INDEX('FMS_평가자2'!$AP$4:$AP$33,MATCH($A8,'FMS_평가자2'!$A$4:$A$33,0)),""),""))</f>
        <v/>
      </c>
      <c r="BO8" s="50">
        <f>IF($A8="","",IFERROR(IF(ISNUMBER(INDEX('FMS_평가자2'!$AY$4:$AY$33,MATCH($A8,'FMS_평가자2'!$A$4:$A$33,0))),INDEX('FMS_평가자2'!$AY$4:$AY$33,MATCH($A8,'FMS_평가자2'!$A$4:$A$33,0)),""),""))</f>
        <v/>
      </c>
      <c r="BP8" s="47">
        <f>IF(AND(ISNUMBER(AV8),ISNUMBER(BN8)),(AV8+BN8)/2,"")</f>
        <v/>
      </c>
      <c r="BQ8" s="47">
        <f>IF(AND(ISNUMBER(BF8),ISNUMBER(BO8)),(BF8+BO8)/2,"")</f>
        <v/>
      </c>
      <c r="BR8" s="47">
        <f>IF(AND(ISNUMBER(BP8),ISNUMBER(BQ8)),BQ8-BP8,"")</f>
        <v/>
      </c>
      <c r="BS8" s="51">
        <f>IF(A8="","",TRIM(IF(B8="ID없음","대상자_VO2max 시트에 없는 ID ","")&amp;IF(LEN(A8)&lt;&gt;LEN(TRIM(A8)),"ID 앞뒤 공백 ","")&amp;IF(COUNTIF($A$4:$A$33,A8)&gt;1,"ID 중복 ","")&amp;IF(AND(B8&lt;&gt;"ID없음",OR(B8="",AND(B8&lt;&gt;1,B8&lt;&gt;2))),"집단 코드 확인(대상자 시트) ","")&amp;IF(AND(B8&lt;&gt;"ID없음",OR(C8="",AND(C8&lt;&gt;0,C8&lt;&gt;1))),"분석포함 코드 확인 ","")&amp;IF(AND(COUNT(G8,H8,I8,J8,K8,L8,M8,O8,P8,Q8,S8,T8)&gt;0,COUNT(G8,H8,I8,J8,K8,L8,M8,O8,P8,Q8,S8,T8)&lt;12),"사전 동작점수 일부 빈칸 ","")&amp;IF(AND(COUNT(Y8,Z8,AA8,AB8,AC8,AD8,AE8,AG8,AH8,AI8,AK8,AL8)&gt;0,COUNT(Y8,Z8,AA8,AB8,AC8,AD8,AE8,AG8,AH8,AI8,AK8,AL8)&lt;12),"사후 동작점수 일부 빈칸 ","")&amp;IF(AND(V8&lt;&gt;"",NOT(ISNUMBER(V8))),"사전 SPSS총점 숫자 아님 ","")&amp;IF(AND(AN8&lt;&gt;"",NOT(ISNUMBER(AN8))),"사후 SPSS총점 숫자 아님 ","")&amp;IF(AND(ISNUMBER(AV8),ISNUMBER(V8)),IF(AV8&lt;&gt;V8,"사전: 계산총점≠SPSS총점 ",""),"")&amp;IF(ISNUMBER(BI8),IF(BI8&lt;&gt;INT(BI8),"사전 총점 정수 아님 ",""),"")&amp;IF(ISNUMBER(BI8),IF(OR(BI8&lt;0,BI8&gt;21),"사전 총점 범위(0–21) 밖 ",""),"")&amp;IF(AND(ISNUMBER(BF8),ISNUMBER(AN8)),IF(BF8&lt;&gt;AN8,"사후: 계산총점≠SPSS총점 ",""),"")&amp;IF(ISNUMBER(BJ8),IF(BJ8&lt;&gt;INT(BJ8),"사후 총점 정수 아님 ",""),"")&amp;IF(ISNUMBER(BJ8),IF(OR(BJ8&lt;0,BJ8&gt;21),"사후 총점 범위(0–21) 밖 ",""),"")&amp;IF(C8=1,IF(OR(NOT(ISNUMBER(BI8)),NOT(ISNUMBER(BJ8))),"분석포함인데 FMS 결측 ",""),"")))</f>
        <v/>
      </c>
    </row>
    <row r="9">
      <c r="A9" s="40" t="n"/>
      <c r="B9" s="50">
        <f>IF($A9="","",IFERROR(IF(INDEX('대상자_VO2max'!$B$4:$B$33,MATCH($A9,'대상자_VO2max'!$A$4:$A$33,0))="","",INDEX('대상자_VO2max'!$B$4:$B$33,MATCH($A9,'대상자_VO2max'!$A$4:$A$33,0))),"ID없음"))</f>
        <v/>
      </c>
      <c r="C9" s="50">
        <f>IF(ISNUMBER(D9),D9,IF($A9="","",IFERROR(IF(INDEX('대상자_VO2max'!$D$4:$D$33,MATCH($A9,'대상자_VO2max'!$A$4:$A$33,0))="","",INDEX('대상자_VO2max'!$D$4:$D$33,MATCH($A9,'대상자_VO2max'!$A$4:$A$33,0))),"ID없음")))</f>
        <v/>
      </c>
      <c r="D9" s="41" t="n"/>
      <c r="E9" s="40" t="n"/>
      <c r="F9" s="46" t="n"/>
      <c r="G9" s="41" t="n"/>
      <c r="H9" s="41" t="n"/>
      <c r="I9" s="41" t="n"/>
      <c r="J9" s="41" t="n"/>
      <c r="K9" s="41" t="n"/>
      <c r="L9" s="41" t="n"/>
      <c r="M9" s="41" t="n"/>
      <c r="N9" s="41" t="n"/>
      <c r="O9" s="41" t="n"/>
      <c r="P9" s="41" t="n"/>
      <c r="Q9" s="41" t="n"/>
      <c r="R9" s="41" t="n"/>
      <c r="S9" s="41" t="n"/>
      <c r="T9" s="41" t="n"/>
      <c r="U9" s="41" t="n"/>
      <c r="V9" s="45" t="n"/>
      <c r="W9" s="40" t="n"/>
      <c r="X9" s="46" t="n"/>
      <c r="Y9" s="41" t="n"/>
      <c r="Z9" s="41" t="n"/>
      <c r="AA9" s="41" t="n"/>
      <c r="AB9" s="41" t="n"/>
      <c r="AC9" s="41" t="n"/>
      <c r="AD9" s="41" t="n"/>
      <c r="AE9" s="41" t="n"/>
      <c r="AF9" s="41" t="n"/>
      <c r="AG9" s="41" t="n"/>
      <c r="AH9" s="41" t="n"/>
      <c r="AI9" s="41" t="n"/>
      <c r="AJ9" s="41" t="n"/>
      <c r="AK9" s="41" t="n"/>
      <c r="AL9" s="41" t="n"/>
      <c r="AM9" s="41" t="n"/>
      <c r="AN9" s="45" t="n"/>
      <c r="AO9" s="50">
        <f>IF(ISNUMBER(G9),G9,"")</f>
        <v/>
      </c>
      <c r="AP9" s="50">
        <f>IF(AND(ISNUMBER(H9),ISNUMBER(I9)),MIN(H9,I9),"")</f>
        <v/>
      </c>
      <c r="AQ9" s="50">
        <f>IF(AND(ISNUMBER(J9),ISNUMBER(K9)),MIN(J9,K9),"")</f>
        <v/>
      </c>
      <c r="AR9" s="50">
        <f>IF(AND(ISNUMBER(L9),ISNUMBER(M9)),IF(N9=1,0,MIN(L9,M9)),"")</f>
        <v/>
      </c>
      <c r="AS9" s="50">
        <f>IF(AND(ISNUMBER(O9),ISNUMBER(P9)),MIN(O9,P9),"")</f>
        <v/>
      </c>
      <c r="AT9" s="50">
        <f>IF(ISNUMBER(Q9),IF(R9=1,0,Q9),"")</f>
        <v/>
      </c>
      <c r="AU9" s="50">
        <f>IF(AND(ISNUMBER(S9),ISNUMBER(T9)),IF(U9=1,0,MIN(S9,T9)),"")</f>
        <v/>
      </c>
      <c r="AV9" s="50">
        <f>IF(COUNT(AO9:AU9)=7,SUM(AO9:AU9),"")</f>
        <v/>
      </c>
      <c r="AW9" s="50">
        <f>IF(ISNUMBER(AV9),--(H9&lt;&gt;I9)+--(J9&lt;&gt;K9)+--(L9&lt;&gt;M9)+--(O9&lt;&gt;P9)+--(S9&lt;&gt;T9),"")</f>
        <v/>
      </c>
      <c r="AX9" s="50">
        <f>IF(ISNUMBER(AV9),COUNT(N9,R9,U9),"")</f>
        <v/>
      </c>
      <c r="AY9" s="50">
        <f>IF(ISNUMBER(Y9),Y9,"")</f>
        <v/>
      </c>
      <c r="AZ9" s="50">
        <f>IF(AND(ISNUMBER(Z9),ISNUMBER(AA9)),MIN(Z9,AA9),"")</f>
        <v/>
      </c>
      <c r="BA9" s="50">
        <f>IF(AND(ISNUMBER(AB9),ISNUMBER(AC9)),MIN(AB9,AC9),"")</f>
        <v/>
      </c>
      <c r="BB9" s="50">
        <f>IF(AND(ISNUMBER(AD9),ISNUMBER(AE9)),IF(AF9=1,0,MIN(AD9,AE9)),"")</f>
        <v/>
      </c>
      <c r="BC9" s="50">
        <f>IF(AND(ISNUMBER(AG9),ISNUMBER(AH9)),MIN(AG9,AH9),"")</f>
        <v/>
      </c>
      <c r="BD9" s="50">
        <f>IF(ISNUMBER(AI9),IF(AJ9=1,0,AI9),"")</f>
        <v/>
      </c>
      <c r="BE9" s="50">
        <f>IF(AND(ISNUMBER(AK9),ISNUMBER(AL9)),IF(AM9=1,0,MIN(AK9,AL9)),"")</f>
        <v/>
      </c>
      <c r="BF9" s="50">
        <f>IF(COUNT(AY9:BE9)=7,SUM(AY9:BE9),"")</f>
        <v/>
      </c>
      <c r="BG9" s="50">
        <f>IF(ISNUMBER(BF9),--(Z9&lt;&gt;AA9)+--(AB9&lt;&gt;AC9)+--(AD9&lt;&gt;AE9)+--(AG9&lt;&gt;AH9)+--(AK9&lt;&gt;AL9),"")</f>
        <v/>
      </c>
      <c r="BH9" s="50">
        <f>IF(ISNUMBER(BF9),COUNT(AF9,AJ9,AM9),"")</f>
        <v/>
      </c>
      <c r="BI9" s="47">
        <f>IF(ISNUMBER(AV9),AV9,IF(ISNUMBER(V9),V9,""))</f>
        <v/>
      </c>
      <c r="BJ9" s="47">
        <f>IF(ISNUMBER(BF9),BF9,IF(ISNUMBER(AN9),AN9,""))</f>
        <v/>
      </c>
      <c r="BK9" s="47">
        <f>IF(AND(ISNUMBER(BI9),ISNUMBER(BJ9)),BJ9-BI9,"")</f>
        <v/>
      </c>
      <c r="BL9" s="42">
        <f>IF(ISNUMBER(AV9),"하위항목",IF(ISNUMBER(V9),"SPSS총점",""))</f>
        <v/>
      </c>
      <c r="BM9" s="42">
        <f>IF(ISNUMBER(BF9),"하위항목",IF(ISNUMBER(AN9),"SPSS총점",""))</f>
        <v/>
      </c>
      <c r="BN9" s="50">
        <f>IF($A9="","",IFERROR(IF(ISNUMBER(INDEX('FMS_평가자2'!$AP$4:$AP$33,MATCH($A9,'FMS_평가자2'!$A$4:$A$33,0))),INDEX('FMS_평가자2'!$AP$4:$AP$33,MATCH($A9,'FMS_평가자2'!$A$4:$A$33,0)),""),""))</f>
        <v/>
      </c>
      <c r="BO9" s="50">
        <f>IF($A9="","",IFERROR(IF(ISNUMBER(INDEX('FMS_평가자2'!$AY$4:$AY$33,MATCH($A9,'FMS_평가자2'!$A$4:$A$33,0))),INDEX('FMS_평가자2'!$AY$4:$AY$33,MATCH($A9,'FMS_평가자2'!$A$4:$A$33,0)),""),""))</f>
        <v/>
      </c>
      <c r="BP9" s="47">
        <f>IF(AND(ISNUMBER(AV9),ISNUMBER(BN9)),(AV9+BN9)/2,"")</f>
        <v/>
      </c>
      <c r="BQ9" s="47">
        <f>IF(AND(ISNUMBER(BF9),ISNUMBER(BO9)),(BF9+BO9)/2,"")</f>
        <v/>
      </c>
      <c r="BR9" s="47">
        <f>IF(AND(ISNUMBER(BP9),ISNUMBER(BQ9)),BQ9-BP9,"")</f>
        <v/>
      </c>
      <c r="BS9" s="51">
        <f>IF(A9="","",TRIM(IF(B9="ID없음","대상자_VO2max 시트에 없는 ID ","")&amp;IF(LEN(A9)&lt;&gt;LEN(TRIM(A9)),"ID 앞뒤 공백 ","")&amp;IF(COUNTIF($A$4:$A$33,A9)&gt;1,"ID 중복 ","")&amp;IF(AND(B9&lt;&gt;"ID없음",OR(B9="",AND(B9&lt;&gt;1,B9&lt;&gt;2))),"집단 코드 확인(대상자 시트) ","")&amp;IF(AND(B9&lt;&gt;"ID없음",OR(C9="",AND(C9&lt;&gt;0,C9&lt;&gt;1))),"분석포함 코드 확인 ","")&amp;IF(AND(COUNT(G9,H9,I9,J9,K9,L9,M9,O9,P9,Q9,S9,T9)&gt;0,COUNT(G9,H9,I9,J9,K9,L9,M9,O9,P9,Q9,S9,T9)&lt;12),"사전 동작점수 일부 빈칸 ","")&amp;IF(AND(COUNT(Y9,Z9,AA9,AB9,AC9,AD9,AE9,AG9,AH9,AI9,AK9,AL9)&gt;0,COUNT(Y9,Z9,AA9,AB9,AC9,AD9,AE9,AG9,AH9,AI9,AK9,AL9)&lt;12),"사후 동작점수 일부 빈칸 ","")&amp;IF(AND(V9&lt;&gt;"",NOT(ISNUMBER(V9))),"사전 SPSS총점 숫자 아님 ","")&amp;IF(AND(AN9&lt;&gt;"",NOT(ISNUMBER(AN9))),"사후 SPSS총점 숫자 아님 ","")&amp;IF(AND(ISNUMBER(AV9),ISNUMBER(V9)),IF(AV9&lt;&gt;V9,"사전: 계산총점≠SPSS총점 ",""),"")&amp;IF(ISNUMBER(BI9),IF(BI9&lt;&gt;INT(BI9),"사전 총점 정수 아님 ",""),"")&amp;IF(ISNUMBER(BI9),IF(OR(BI9&lt;0,BI9&gt;21),"사전 총점 범위(0–21) 밖 ",""),"")&amp;IF(AND(ISNUMBER(BF9),ISNUMBER(AN9)),IF(BF9&lt;&gt;AN9,"사후: 계산총점≠SPSS총점 ",""),"")&amp;IF(ISNUMBER(BJ9),IF(BJ9&lt;&gt;INT(BJ9),"사후 총점 정수 아님 ",""),"")&amp;IF(ISNUMBER(BJ9),IF(OR(BJ9&lt;0,BJ9&gt;21),"사후 총점 범위(0–21) 밖 ",""),"")&amp;IF(C9=1,IF(OR(NOT(ISNUMBER(BI9)),NOT(ISNUMBER(BJ9))),"분석포함인데 FMS 결측 ",""),"")))</f>
        <v/>
      </c>
    </row>
    <row r="10">
      <c r="A10" s="40" t="n"/>
      <c r="B10" s="50">
        <f>IF($A10="","",IFERROR(IF(INDEX('대상자_VO2max'!$B$4:$B$33,MATCH($A10,'대상자_VO2max'!$A$4:$A$33,0))="","",INDEX('대상자_VO2max'!$B$4:$B$33,MATCH($A10,'대상자_VO2max'!$A$4:$A$33,0))),"ID없음"))</f>
        <v/>
      </c>
      <c r="C10" s="50">
        <f>IF(ISNUMBER(D10),D10,IF($A10="","",IFERROR(IF(INDEX('대상자_VO2max'!$D$4:$D$33,MATCH($A10,'대상자_VO2max'!$A$4:$A$33,0))="","",INDEX('대상자_VO2max'!$D$4:$D$33,MATCH($A10,'대상자_VO2max'!$A$4:$A$33,0))),"ID없음")))</f>
        <v/>
      </c>
      <c r="D10" s="41" t="n"/>
      <c r="E10" s="40" t="n"/>
      <c r="F10" s="46" t="n"/>
      <c r="G10" s="41" t="n"/>
      <c r="H10" s="41" t="n"/>
      <c r="I10" s="41" t="n"/>
      <c r="J10" s="41" t="n"/>
      <c r="K10" s="41" t="n"/>
      <c r="L10" s="41" t="n"/>
      <c r="M10" s="41" t="n"/>
      <c r="N10" s="41" t="n"/>
      <c r="O10" s="41" t="n"/>
      <c r="P10" s="41" t="n"/>
      <c r="Q10" s="41" t="n"/>
      <c r="R10" s="41" t="n"/>
      <c r="S10" s="41" t="n"/>
      <c r="T10" s="41" t="n"/>
      <c r="U10" s="41" t="n"/>
      <c r="V10" s="45" t="n"/>
      <c r="W10" s="40" t="n"/>
      <c r="X10" s="46" t="n"/>
      <c r="Y10" s="41" t="n"/>
      <c r="Z10" s="41" t="n"/>
      <c r="AA10" s="41" t="n"/>
      <c r="AB10" s="41" t="n"/>
      <c r="AC10" s="41" t="n"/>
      <c r="AD10" s="41" t="n"/>
      <c r="AE10" s="41" t="n"/>
      <c r="AF10" s="41" t="n"/>
      <c r="AG10" s="41" t="n"/>
      <c r="AH10" s="41" t="n"/>
      <c r="AI10" s="41" t="n"/>
      <c r="AJ10" s="41" t="n"/>
      <c r="AK10" s="41" t="n"/>
      <c r="AL10" s="41" t="n"/>
      <c r="AM10" s="41" t="n"/>
      <c r="AN10" s="45" t="n"/>
      <c r="AO10" s="50">
        <f>IF(ISNUMBER(G10),G10,"")</f>
        <v/>
      </c>
      <c r="AP10" s="50">
        <f>IF(AND(ISNUMBER(H10),ISNUMBER(I10)),MIN(H10,I10),"")</f>
        <v/>
      </c>
      <c r="AQ10" s="50">
        <f>IF(AND(ISNUMBER(J10),ISNUMBER(K10)),MIN(J10,K10),"")</f>
        <v/>
      </c>
      <c r="AR10" s="50">
        <f>IF(AND(ISNUMBER(L10),ISNUMBER(M10)),IF(N10=1,0,MIN(L10,M10)),"")</f>
        <v/>
      </c>
      <c r="AS10" s="50">
        <f>IF(AND(ISNUMBER(O10),ISNUMBER(P10)),MIN(O10,P10),"")</f>
        <v/>
      </c>
      <c r="AT10" s="50">
        <f>IF(ISNUMBER(Q10),IF(R10=1,0,Q10),"")</f>
        <v/>
      </c>
      <c r="AU10" s="50">
        <f>IF(AND(ISNUMBER(S10),ISNUMBER(T10)),IF(U10=1,0,MIN(S10,T10)),"")</f>
        <v/>
      </c>
      <c r="AV10" s="50">
        <f>IF(COUNT(AO10:AU10)=7,SUM(AO10:AU10),"")</f>
        <v/>
      </c>
      <c r="AW10" s="50">
        <f>IF(ISNUMBER(AV10),--(H10&lt;&gt;I10)+--(J10&lt;&gt;K10)+--(L10&lt;&gt;M10)+--(O10&lt;&gt;P10)+--(S10&lt;&gt;T10),"")</f>
        <v/>
      </c>
      <c r="AX10" s="50">
        <f>IF(ISNUMBER(AV10),COUNT(N10,R10,U10),"")</f>
        <v/>
      </c>
      <c r="AY10" s="50">
        <f>IF(ISNUMBER(Y10),Y10,"")</f>
        <v/>
      </c>
      <c r="AZ10" s="50">
        <f>IF(AND(ISNUMBER(Z10),ISNUMBER(AA10)),MIN(Z10,AA10),"")</f>
        <v/>
      </c>
      <c r="BA10" s="50">
        <f>IF(AND(ISNUMBER(AB10),ISNUMBER(AC10)),MIN(AB10,AC10),"")</f>
        <v/>
      </c>
      <c r="BB10" s="50">
        <f>IF(AND(ISNUMBER(AD10),ISNUMBER(AE10)),IF(AF10=1,0,MIN(AD10,AE10)),"")</f>
        <v/>
      </c>
      <c r="BC10" s="50">
        <f>IF(AND(ISNUMBER(AG10),ISNUMBER(AH10)),MIN(AG10,AH10),"")</f>
        <v/>
      </c>
      <c r="BD10" s="50">
        <f>IF(ISNUMBER(AI10),IF(AJ10=1,0,AI10),"")</f>
        <v/>
      </c>
      <c r="BE10" s="50">
        <f>IF(AND(ISNUMBER(AK10),ISNUMBER(AL10)),IF(AM10=1,0,MIN(AK10,AL10)),"")</f>
        <v/>
      </c>
      <c r="BF10" s="50">
        <f>IF(COUNT(AY10:BE10)=7,SUM(AY10:BE10),"")</f>
        <v/>
      </c>
      <c r="BG10" s="50">
        <f>IF(ISNUMBER(BF10),--(Z10&lt;&gt;AA10)+--(AB10&lt;&gt;AC10)+--(AD10&lt;&gt;AE10)+--(AG10&lt;&gt;AH10)+--(AK10&lt;&gt;AL10),"")</f>
        <v/>
      </c>
      <c r="BH10" s="50">
        <f>IF(ISNUMBER(BF10),COUNT(AF10,AJ10,AM10),"")</f>
        <v/>
      </c>
      <c r="BI10" s="47">
        <f>IF(ISNUMBER(AV10),AV10,IF(ISNUMBER(V10),V10,""))</f>
        <v/>
      </c>
      <c r="BJ10" s="47">
        <f>IF(ISNUMBER(BF10),BF10,IF(ISNUMBER(AN10),AN10,""))</f>
        <v/>
      </c>
      <c r="BK10" s="47">
        <f>IF(AND(ISNUMBER(BI10),ISNUMBER(BJ10)),BJ10-BI10,"")</f>
        <v/>
      </c>
      <c r="BL10" s="42">
        <f>IF(ISNUMBER(AV10),"하위항목",IF(ISNUMBER(V10),"SPSS총점",""))</f>
        <v/>
      </c>
      <c r="BM10" s="42">
        <f>IF(ISNUMBER(BF10),"하위항목",IF(ISNUMBER(AN10),"SPSS총점",""))</f>
        <v/>
      </c>
      <c r="BN10" s="50">
        <f>IF($A10="","",IFERROR(IF(ISNUMBER(INDEX('FMS_평가자2'!$AP$4:$AP$33,MATCH($A10,'FMS_평가자2'!$A$4:$A$33,0))),INDEX('FMS_평가자2'!$AP$4:$AP$33,MATCH($A10,'FMS_평가자2'!$A$4:$A$33,0)),""),""))</f>
        <v/>
      </c>
      <c r="BO10" s="50">
        <f>IF($A10="","",IFERROR(IF(ISNUMBER(INDEX('FMS_평가자2'!$AY$4:$AY$33,MATCH($A10,'FMS_평가자2'!$A$4:$A$33,0))),INDEX('FMS_평가자2'!$AY$4:$AY$33,MATCH($A10,'FMS_평가자2'!$A$4:$A$33,0)),""),""))</f>
        <v/>
      </c>
      <c r="BP10" s="47">
        <f>IF(AND(ISNUMBER(AV10),ISNUMBER(BN10)),(AV10+BN10)/2,"")</f>
        <v/>
      </c>
      <c r="BQ10" s="47">
        <f>IF(AND(ISNUMBER(BF10),ISNUMBER(BO10)),(BF10+BO10)/2,"")</f>
        <v/>
      </c>
      <c r="BR10" s="47">
        <f>IF(AND(ISNUMBER(BP10),ISNUMBER(BQ10)),BQ10-BP10,"")</f>
        <v/>
      </c>
      <c r="BS10" s="51">
        <f>IF(A10="","",TRIM(IF(B10="ID없음","대상자_VO2max 시트에 없는 ID ","")&amp;IF(LEN(A10)&lt;&gt;LEN(TRIM(A10)),"ID 앞뒤 공백 ","")&amp;IF(COUNTIF($A$4:$A$33,A10)&gt;1,"ID 중복 ","")&amp;IF(AND(B10&lt;&gt;"ID없음",OR(B10="",AND(B10&lt;&gt;1,B10&lt;&gt;2))),"집단 코드 확인(대상자 시트) ","")&amp;IF(AND(B10&lt;&gt;"ID없음",OR(C10="",AND(C10&lt;&gt;0,C10&lt;&gt;1))),"분석포함 코드 확인 ","")&amp;IF(AND(COUNT(G10,H10,I10,J10,K10,L10,M10,O10,P10,Q10,S10,T10)&gt;0,COUNT(G10,H10,I10,J10,K10,L10,M10,O10,P10,Q10,S10,T10)&lt;12),"사전 동작점수 일부 빈칸 ","")&amp;IF(AND(COUNT(Y10,Z10,AA10,AB10,AC10,AD10,AE10,AG10,AH10,AI10,AK10,AL10)&gt;0,COUNT(Y10,Z10,AA10,AB10,AC10,AD10,AE10,AG10,AH10,AI10,AK10,AL10)&lt;12),"사후 동작점수 일부 빈칸 ","")&amp;IF(AND(V10&lt;&gt;"",NOT(ISNUMBER(V10))),"사전 SPSS총점 숫자 아님 ","")&amp;IF(AND(AN10&lt;&gt;"",NOT(ISNUMBER(AN10))),"사후 SPSS총점 숫자 아님 ","")&amp;IF(AND(ISNUMBER(AV10),ISNUMBER(V10)),IF(AV10&lt;&gt;V10,"사전: 계산총점≠SPSS총점 ",""),"")&amp;IF(ISNUMBER(BI10),IF(BI10&lt;&gt;INT(BI10),"사전 총점 정수 아님 ",""),"")&amp;IF(ISNUMBER(BI10),IF(OR(BI10&lt;0,BI10&gt;21),"사전 총점 범위(0–21) 밖 ",""),"")&amp;IF(AND(ISNUMBER(BF10),ISNUMBER(AN10)),IF(BF10&lt;&gt;AN10,"사후: 계산총점≠SPSS총점 ",""),"")&amp;IF(ISNUMBER(BJ10),IF(BJ10&lt;&gt;INT(BJ10),"사후 총점 정수 아님 ",""),"")&amp;IF(ISNUMBER(BJ10),IF(OR(BJ10&lt;0,BJ10&gt;21),"사후 총점 범위(0–21) 밖 ",""),"")&amp;IF(C10=1,IF(OR(NOT(ISNUMBER(BI10)),NOT(ISNUMBER(BJ10))),"분석포함인데 FMS 결측 ",""),"")))</f>
        <v/>
      </c>
    </row>
    <row r="11">
      <c r="A11" s="40" t="n"/>
      <c r="B11" s="50">
        <f>IF($A11="","",IFERROR(IF(INDEX('대상자_VO2max'!$B$4:$B$33,MATCH($A11,'대상자_VO2max'!$A$4:$A$33,0))="","",INDEX('대상자_VO2max'!$B$4:$B$33,MATCH($A11,'대상자_VO2max'!$A$4:$A$33,0))),"ID없음"))</f>
        <v/>
      </c>
      <c r="C11" s="50">
        <f>IF(ISNUMBER(D11),D11,IF($A11="","",IFERROR(IF(INDEX('대상자_VO2max'!$D$4:$D$33,MATCH($A11,'대상자_VO2max'!$A$4:$A$33,0))="","",INDEX('대상자_VO2max'!$D$4:$D$33,MATCH($A11,'대상자_VO2max'!$A$4:$A$33,0))),"ID없음")))</f>
        <v/>
      </c>
      <c r="D11" s="41" t="n"/>
      <c r="E11" s="40" t="n"/>
      <c r="F11" s="46" t="n"/>
      <c r="G11" s="41" t="n"/>
      <c r="H11" s="41" t="n"/>
      <c r="I11" s="41" t="n"/>
      <c r="J11" s="41" t="n"/>
      <c r="K11" s="41" t="n"/>
      <c r="L11" s="41" t="n"/>
      <c r="M11" s="41" t="n"/>
      <c r="N11" s="41" t="n"/>
      <c r="O11" s="41" t="n"/>
      <c r="P11" s="41" t="n"/>
      <c r="Q11" s="41" t="n"/>
      <c r="R11" s="41" t="n"/>
      <c r="S11" s="41" t="n"/>
      <c r="T11" s="41" t="n"/>
      <c r="U11" s="41" t="n"/>
      <c r="V11" s="45" t="n"/>
      <c r="W11" s="40" t="n"/>
      <c r="X11" s="46" t="n"/>
      <c r="Y11" s="41" t="n"/>
      <c r="Z11" s="41" t="n"/>
      <c r="AA11" s="41" t="n"/>
      <c r="AB11" s="41" t="n"/>
      <c r="AC11" s="41" t="n"/>
      <c r="AD11" s="41" t="n"/>
      <c r="AE11" s="41" t="n"/>
      <c r="AF11" s="41" t="n"/>
      <c r="AG11" s="41" t="n"/>
      <c r="AH11" s="41" t="n"/>
      <c r="AI11" s="41" t="n"/>
      <c r="AJ11" s="41" t="n"/>
      <c r="AK11" s="41" t="n"/>
      <c r="AL11" s="41" t="n"/>
      <c r="AM11" s="41" t="n"/>
      <c r="AN11" s="45" t="n"/>
      <c r="AO11" s="50">
        <f>IF(ISNUMBER(G11),G11,"")</f>
        <v/>
      </c>
      <c r="AP11" s="50">
        <f>IF(AND(ISNUMBER(H11),ISNUMBER(I11)),MIN(H11,I11),"")</f>
        <v/>
      </c>
      <c r="AQ11" s="50">
        <f>IF(AND(ISNUMBER(J11),ISNUMBER(K11)),MIN(J11,K11),"")</f>
        <v/>
      </c>
      <c r="AR11" s="50">
        <f>IF(AND(ISNUMBER(L11),ISNUMBER(M11)),IF(N11=1,0,MIN(L11,M11)),"")</f>
        <v/>
      </c>
      <c r="AS11" s="50">
        <f>IF(AND(ISNUMBER(O11),ISNUMBER(P11)),MIN(O11,P11),"")</f>
        <v/>
      </c>
      <c r="AT11" s="50">
        <f>IF(ISNUMBER(Q11),IF(R11=1,0,Q11),"")</f>
        <v/>
      </c>
      <c r="AU11" s="50">
        <f>IF(AND(ISNUMBER(S11),ISNUMBER(T11)),IF(U11=1,0,MIN(S11,T11)),"")</f>
        <v/>
      </c>
      <c r="AV11" s="50">
        <f>IF(COUNT(AO11:AU11)=7,SUM(AO11:AU11),"")</f>
        <v/>
      </c>
      <c r="AW11" s="50">
        <f>IF(ISNUMBER(AV11),--(H11&lt;&gt;I11)+--(J11&lt;&gt;K11)+--(L11&lt;&gt;M11)+--(O11&lt;&gt;P11)+--(S11&lt;&gt;T11),"")</f>
        <v/>
      </c>
      <c r="AX11" s="50">
        <f>IF(ISNUMBER(AV11),COUNT(N11,R11,U11),"")</f>
        <v/>
      </c>
      <c r="AY11" s="50">
        <f>IF(ISNUMBER(Y11),Y11,"")</f>
        <v/>
      </c>
      <c r="AZ11" s="50">
        <f>IF(AND(ISNUMBER(Z11),ISNUMBER(AA11)),MIN(Z11,AA11),"")</f>
        <v/>
      </c>
      <c r="BA11" s="50">
        <f>IF(AND(ISNUMBER(AB11),ISNUMBER(AC11)),MIN(AB11,AC11),"")</f>
        <v/>
      </c>
      <c r="BB11" s="50">
        <f>IF(AND(ISNUMBER(AD11),ISNUMBER(AE11)),IF(AF11=1,0,MIN(AD11,AE11)),"")</f>
        <v/>
      </c>
      <c r="BC11" s="50">
        <f>IF(AND(ISNUMBER(AG11),ISNUMBER(AH11)),MIN(AG11,AH11),"")</f>
        <v/>
      </c>
      <c r="BD11" s="50">
        <f>IF(ISNUMBER(AI11),IF(AJ11=1,0,AI11),"")</f>
        <v/>
      </c>
      <c r="BE11" s="50">
        <f>IF(AND(ISNUMBER(AK11),ISNUMBER(AL11)),IF(AM11=1,0,MIN(AK11,AL11)),"")</f>
        <v/>
      </c>
      <c r="BF11" s="50">
        <f>IF(COUNT(AY11:BE11)=7,SUM(AY11:BE11),"")</f>
        <v/>
      </c>
      <c r="BG11" s="50">
        <f>IF(ISNUMBER(BF11),--(Z11&lt;&gt;AA11)+--(AB11&lt;&gt;AC11)+--(AD11&lt;&gt;AE11)+--(AG11&lt;&gt;AH11)+--(AK11&lt;&gt;AL11),"")</f>
        <v/>
      </c>
      <c r="BH11" s="50">
        <f>IF(ISNUMBER(BF11),COUNT(AF11,AJ11,AM11),"")</f>
        <v/>
      </c>
      <c r="BI11" s="47">
        <f>IF(ISNUMBER(AV11),AV11,IF(ISNUMBER(V11),V11,""))</f>
        <v/>
      </c>
      <c r="BJ11" s="47">
        <f>IF(ISNUMBER(BF11),BF11,IF(ISNUMBER(AN11),AN11,""))</f>
        <v/>
      </c>
      <c r="BK11" s="47">
        <f>IF(AND(ISNUMBER(BI11),ISNUMBER(BJ11)),BJ11-BI11,"")</f>
        <v/>
      </c>
      <c r="BL11" s="42">
        <f>IF(ISNUMBER(AV11),"하위항목",IF(ISNUMBER(V11),"SPSS총점",""))</f>
        <v/>
      </c>
      <c r="BM11" s="42">
        <f>IF(ISNUMBER(BF11),"하위항목",IF(ISNUMBER(AN11),"SPSS총점",""))</f>
        <v/>
      </c>
      <c r="BN11" s="50">
        <f>IF($A11="","",IFERROR(IF(ISNUMBER(INDEX('FMS_평가자2'!$AP$4:$AP$33,MATCH($A11,'FMS_평가자2'!$A$4:$A$33,0))),INDEX('FMS_평가자2'!$AP$4:$AP$33,MATCH($A11,'FMS_평가자2'!$A$4:$A$33,0)),""),""))</f>
        <v/>
      </c>
      <c r="BO11" s="50">
        <f>IF($A11="","",IFERROR(IF(ISNUMBER(INDEX('FMS_평가자2'!$AY$4:$AY$33,MATCH($A11,'FMS_평가자2'!$A$4:$A$33,0))),INDEX('FMS_평가자2'!$AY$4:$AY$33,MATCH($A11,'FMS_평가자2'!$A$4:$A$33,0)),""),""))</f>
        <v/>
      </c>
      <c r="BP11" s="47">
        <f>IF(AND(ISNUMBER(AV11),ISNUMBER(BN11)),(AV11+BN11)/2,"")</f>
        <v/>
      </c>
      <c r="BQ11" s="47">
        <f>IF(AND(ISNUMBER(BF11),ISNUMBER(BO11)),(BF11+BO11)/2,"")</f>
        <v/>
      </c>
      <c r="BR11" s="47">
        <f>IF(AND(ISNUMBER(BP11),ISNUMBER(BQ11)),BQ11-BP11,"")</f>
        <v/>
      </c>
      <c r="BS11" s="51">
        <f>IF(A11="","",TRIM(IF(B11="ID없음","대상자_VO2max 시트에 없는 ID ","")&amp;IF(LEN(A11)&lt;&gt;LEN(TRIM(A11)),"ID 앞뒤 공백 ","")&amp;IF(COUNTIF($A$4:$A$33,A11)&gt;1,"ID 중복 ","")&amp;IF(AND(B11&lt;&gt;"ID없음",OR(B11="",AND(B11&lt;&gt;1,B11&lt;&gt;2))),"집단 코드 확인(대상자 시트) ","")&amp;IF(AND(B11&lt;&gt;"ID없음",OR(C11="",AND(C11&lt;&gt;0,C11&lt;&gt;1))),"분석포함 코드 확인 ","")&amp;IF(AND(COUNT(G11,H11,I11,J11,K11,L11,M11,O11,P11,Q11,S11,T11)&gt;0,COUNT(G11,H11,I11,J11,K11,L11,M11,O11,P11,Q11,S11,T11)&lt;12),"사전 동작점수 일부 빈칸 ","")&amp;IF(AND(COUNT(Y11,Z11,AA11,AB11,AC11,AD11,AE11,AG11,AH11,AI11,AK11,AL11)&gt;0,COUNT(Y11,Z11,AA11,AB11,AC11,AD11,AE11,AG11,AH11,AI11,AK11,AL11)&lt;12),"사후 동작점수 일부 빈칸 ","")&amp;IF(AND(V11&lt;&gt;"",NOT(ISNUMBER(V11))),"사전 SPSS총점 숫자 아님 ","")&amp;IF(AND(AN11&lt;&gt;"",NOT(ISNUMBER(AN11))),"사후 SPSS총점 숫자 아님 ","")&amp;IF(AND(ISNUMBER(AV11),ISNUMBER(V11)),IF(AV11&lt;&gt;V11,"사전: 계산총점≠SPSS총점 ",""),"")&amp;IF(ISNUMBER(BI11),IF(BI11&lt;&gt;INT(BI11),"사전 총점 정수 아님 ",""),"")&amp;IF(ISNUMBER(BI11),IF(OR(BI11&lt;0,BI11&gt;21),"사전 총점 범위(0–21) 밖 ",""),"")&amp;IF(AND(ISNUMBER(BF11),ISNUMBER(AN11)),IF(BF11&lt;&gt;AN11,"사후: 계산총점≠SPSS총점 ",""),"")&amp;IF(ISNUMBER(BJ11),IF(BJ11&lt;&gt;INT(BJ11),"사후 총점 정수 아님 ",""),"")&amp;IF(ISNUMBER(BJ11),IF(OR(BJ11&lt;0,BJ11&gt;21),"사후 총점 범위(0–21) 밖 ",""),"")&amp;IF(C11=1,IF(OR(NOT(ISNUMBER(BI11)),NOT(ISNUMBER(BJ11))),"분석포함인데 FMS 결측 ",""),"")))</f>
        <v/>
      </c>
    </row>
    <row r="12">
      <c r="A12" s="40" t="n"/>
      <c r="B12" s="50">
        <f>IF($A12="","",IFERROR(IF(INDEX('대상자_VO2max'!$B$4:$B$33,MATCH($A12,'대상자_VO2max'!$A$4:$A$33,0))="","",INDEX('대상자_VO2max'!$B$4:$B$33,MATCH($A12,'대상자_VO2max'!$A$4:$A$33,0))),"ID없음"))</f>
        <v/>
      </c>
      <c r="C12" s="50">
        <f>IF(ISNUMBER(D12),D12,IF($A12="","",IFERROR(IF(INDEX('대상자_VO2max'!$D$4:$D$33,MATCH($A12,'대상자_VO2max'!$A$4:$A$33,0))="","",INDEX('대상자_VO2max'!$D$4:$D$33,MATCH($A12,'대상자_VO2max'!$A$4:$A$33,0))),"ID없음")))</f>
        <v/>
      </c>
      <c r="D12" s="41" t="n"/>
      <c r="E12" s="40" t="n"/>
      <c r="F12" s="46" t="n"/>
      <c r="G12" s="41" t="n"/>
      <c r="H12" s="41" t="n"/>
      <c r="I12" s="41" t="n"/>
      <c r="J12" s="41" t="n"/>
      <c r="K12" s="41" t="n"/>
      <c r="L12" s="41" t="n"/>
      <c r="M12" s="41" t="n"/>
      <c r="N12" s="41" t="n"/>
      <c r="O12" s="41" t="n"/>
      <c r="P12" s="41" t="n"/>
      <c r="Q12" s="41" t="n"/>
      <c r="R12" s="41" t="n"/>
      <c r="S12" s="41" t="n"/>
      <c r="T12" s="41" t="n"/>
      <c r="U12" s="41" t="n"/>
      <c r="V12" s="45" t="n"/>
      <c r="W12" s="40" t="n"/>
      <c r="X12" s="46" t="n"/>
      <c r="Y12" s="41" t="n"/>
      <c r="Z12" s="41" t="n"/>
      <c r="AA12" s="41" t="n"/>
      <c r="AB12" s="41" t="n"/>
      <c r="AC12" s="41" t="n"/>
      <c r="AD12" s="41" t="n"/>
      <c r="AE12" s="41" t="n"/>
      <c r="AF12" s="41" t="n"/>
      <c r="AG12" s="41" t="n"/>
      <c r="AH12" s="41" t="n"/>
      <c r="AI12" s="41" t="n"/>
      <c r="AJ12" s="41" t="n"/>
      <c r="AK12" s="41" t="n"/>
      <c r="AL12" s="41" t="n"/>
      <c r="AM12" s="41" t="n"/>
      <c r="AN12" s="45" t="n"/>
      <c r="AO12" s="50">
        <f>IF(ISNUMBER(G12),G12,"")</f>
        <v/>
      </c>
      <c r="AP12" s="50">
        <f>IF(AND(ISNUMBER(H12),ISNUMBER(I12)),MIN(H12,I12),"")</f>
        <v/>
      </c>
      <c r="AQ12" s="50">
        <f>IF(AND(ISNUMBER(J12),ISNUMBER(K12)),MIN(J12,K12),"")</f>
        <v/>
      </c>
      <c r="AR12" s="50">
        <f>IF(AND(ISNUMBER(L12),ISNUMBER(M12)),IF(N12=1,0,MIN(L12,M12)),"")</f>
        <v/>
      </c>
      <c r="AS12" s="50">
        <f>IF(AND(ISNUMBER(O12),ISNUMBER(P12)),MIN(O12,P12),"")</f>
        <v/>
      </c>
      <c r="AT12" s="50">
        <f>IF(ISNUMBER(Q12),IF(R12=1,0,Q12),"")</f>
        <v/>
      </c>
      <c r="AU12" s="50">
        <f>IF(AND(ISNUMBER(S12),ISNUMBER(T12)),IF(U12=1,0,MIN(S12,T12)),"")</f>
        <v/>
      </c>
      <c r="AV12" s="50">
        <f>IF(COUNT(AO12:AU12)=7,SUM(AO12:AU12),"")</f>
        <v/>
      </c>
      <c r="AW12" s="50">
        <f>IF(ISNUMBER(AV12),--(H12&lt;&gt;I12)+--(J12&lt;&gt;K12)+--(L12&lt;&gt;M12)+--(O12&lt;&gt;P12)+--(S12&lt;&gt;T12),"")</f>
        <v/>
      </c>
      <c r="AX12" s="50">
        <f>IF(ISNUMBER(AV12),COUNT(N12,R12,U12),"")</f>
        <v/>
      </c>
      <c r="AY12" s="50">
        <f>IF(ISNUMBER(Y12),Y12,"")</f>
        <v/>
      </c>
      <c r="AZ12" s="50">
        <f>IF(AND(ISNUMBER(Z12),ISNUMBER(AA12)),MIN(Z12,AA12),"")</f>
        <v/>
      </c>
      <c r="BA12" s="50">
        <f>IF(AND(ISNUMBER(AB12),ISNUMBER(AC12)),MIN(AB12,AC12),"")</f>
        <v/>
      </c>
      <c r="BB12" s="50">
        <f>IF(AND(ISNUMBER(AD12),ISNUMBER(AE12)),IF(AF12=1,0,MIN(AD12,AE12)),"")</f>
        <v/>
      </c>
      <c r="BC12" s="50">
        <f>IF(AND(ISNUMBER(AG12),ISNUMBER(AH12)),MIN(AG12,AH12),"")</f>
        <v/>
      </c>
      <c r="BD12" s="50">
        <f>IF(ISNUMBER(AI12),IF(AJ12=1,0,AI12),"")</f>
        <v/>
      </c>
      <c r="BE12" s="50">
        <f>IF(AND(ISNUMBER(AK12),ISNUMBER(AL12)),IF(AM12=1,0,MIN(AK12,AL12)),"")</f>
        <v/>
      </c>
      <c r="BF12" s="50">
        <f>IF(COUNT(AY12:BE12)=7,SUM(AY12:BE12),"")</f>
        <v/>
      </c>
      <c r="BG12" s="50">
        <f>IF(ISNUMBER(BF12),--(Z12&lt;&gt;AA12)+--(AB12&lt;&gt;AC12)+--(AD12&lt;&gt;AE12)+--(AG12&lt;&gt;AH12)+--(AK12&lt;&gt;AL12),"")</f>
        <v/>
      </c>
      <c r="BH12" s="50">
        <f>IF(ISNUMBER(BF12),COUNT(AF12,AJ12,AM12),"")</f>
        <v/>
      </c>
      <c r="BI12" s="47">
        <f>IF(ISNUMBER(AV12),AV12,IF(ISNUMBER(V12),V12,""))</f>
        <v/>
      </c>
      <c r="BJ12" s="47">
        <f>IF(ISNUMBER(BF12),BF12,IF(ISNUMBER(AN12),AN12,""))</f>
        <v/>
      </c>
      <c r="BK12" s="47">
        <f>IF(AND(ISNUMBER(BI12),ISNUMBER(BJ12)),BJ12-BI12,"")</f>
        <v/>
      </c>
      <c r="BL12" s="42">
        <f>IF(ISNUMBER(AV12),"하위항목",IF(ISNUMBER(V12),"SPSS총점",""))</f>
        <v/>
      </c>
      <c r="BM12" s="42">
        <f>IF(ISNUMBER(BF12),"하위항목",IF(ISNUMBER(AN12),"SPSS총점",""))</f>
        <v/>
      </c>
      <c r="BN12" s="50">
        <f>IF($A12="","",IFERROR(IF(ISNUMBER(INDEX('FMS_평가자2'!$AP$4:$AP$33,MATCH($A12,'FMS_평가자2'!$A$4:$A$33,0))),INDEX('FMS_평가자2'!$AP$4:$AP$33,MATCH($A12,'FMS_평가자2'!$A$4:$A$33,0)),""),""))</f>
        <v/>
      </c>
      <c r="BO12" s="50">
        <f>IF($A12="","",IFERROR(IF(ISNUMBER(INDEX('FMS_평가자2'!$AY$4:$AY$33,MATCH($A12,'FMS_평가자2'!$A$4:$A$33,0))),INDEX('FMS_평가자2'!$AY$4:$AY$33,MATCH($A12,'FMS_평가자2'!$A$4:$A$33,0)),""),""))</f>
        <v/>
      </c>
      <c r="BP12" s="47">
        <f>IF(AND(ISNUMBER(AV12),ISNUMBER(BN12)),(AV12+BN12)/2,"")</f>
        <v/>
      </c>
      <c r="BQ12" s="47">
        <f>IF(AND(ISNUMBER(BF12),ISNUMBER(BO12)),(BF12+BO12)/2,"")</f>
        <v/>
      </c>
      <c r="BR12" s="47">
        <f>IF(AND(ISNUMBER(BP12),ISNUMBER(BQ12)),BQ12-BP12,"")</f>
        <v/>
      </c>
      <c r="BS12" s="51">
        <f>IF(A12="","",TRIM(IF(B12="ID없음","대상자_VO2max 시트에 없는 ID ","")&amp;IF(LEN(A12)&lt;&gt;LEN(TRIM(A12)),"ID 앞뒤 공백 ","")&amp;IF(COUNTIF($A$4:$A$33,A12)&gt;1,"ID 중복 ","")&amp;IF(AND(B12&lt;&gt;"ID없음",OR(B12="",AND(B12&lt;&gt;1,B12&lt;&gt;2))),"집단 코드 확인(대상자 시트) ","")&amp;IF(AND(B12&lt;&gt;"ID없음",OR(C12="",AND(C12&lt;&gt;0,C12&lt;&gt;1))),"분석포함 코드 확인 ","")&amp;IF(AND(COUNT(G12,H12,I12,J12,K12,L12,M12,O12,P12,Q12,S12,T12)&gt;0,COUNT(G12,H12,I12,J12,K12,L12,M12,O12,P12,Q12,S12,T12)&lt;12),"사전 동작점수 일부 빈칸 ","")&amp;IF(AND(COUNT(Y12,Z12,AA12,AB12,AC12,AD12,AE12,AG12,AH12,AI12,AK12,AL12)&gt;0,COUNT(Y12,Z12,AA12,AB12,AC12,AD12,AE12,AG12,AH12,AI12,AK12,AL12)&lt;12),"사후 동작점수 일부 빈칸 ","")&amp;IF(AND(V12&lt;&gt;"",NOT(ISNUMBER(V12))),"사전 SPSS총점 숫자 아님 ","")&amp;IF(AND(AN12&lt;&gt;"",NOT(ISNUMBER(AN12))),"사후 SPSS총점 숫자 아님 ","")&amp;IF(AND(ISNUMBER(AV12),ISNUMBER(V12)),IF(AV12&lt;&gt;V12,"사전: 계산총점≠SPSS총점 ",""),"")&amp;IF(ISNUMBER(BI12),IF(BI12&lt;&gt;INT(BI12),"사전 총점 정수 아님 ",""),"")&amp;IF(ISNUMBER(BI12),IF(OR(BI12&lt;0,BI12&gt;21),"사전 총점 범위(0–21) 밖 ",""),"")&amp;IF(AND(ISNUMBER(BF12),ISNUMBER(AN12)),IF(BF12&lt;&gt;AN12,"사후: 계산총점≠SPSS총점 ",""),"")&amp;IF(ISNUMBER(BJ12),IF(BJ12&lt;&gt;INT(BJ12),"사후 총점 정수 아님 ",""),"")&amp;IF(ISNUMBER(BJ12),IF(OR(BJ12&lt;0,BJ12&gt;21),"사후 총점 범위(0–21) 밖 ",""),"")&amp;IF(C12=1,IF(OR(NOT(ISNUMBER(BI12)),NOT(ISNUMBER(BJ12))),"분석포함인데 FMS 결측 ",""),"")))</f>
        <v/>
      </c>
    </row>
    <row r="13">
      <c r="A13" s="40" t="n"/>
      <c r="B13" s="50">
        <f>IF($A13="","",IFERROR(IF(INDEX('대상자_VO2max'!$B$4:$B$33,MATCH($A13,'대상자_VO2max'!$A$4:$A$33,0))="","",INDEX('대상자_VO2max'!$B$4:$B$33,MATCH($A13,'대상자_VO2max'!$A$4:$A$33,0))),"ID없음"))</f>
        <v/>
      </c>
      <c r="C13" s="50">
        <f>IF(ISNUMBER(D13),D13,IF($A13="","",IFERROR(IF(INDEX('대상자_VO2max'!$D$4:$D$33,MATCH($A13,'대상자_VO2max'!$A$4:$A$33,0))="","",INDEX('대상자_VO2max'!$D$4:$D$33,MATCH($A13,'대상자_VO2max'!$A$4:$A$33,0))),"ID없음")))</f>
        <v/>
      </c>
      <c r="D13" s="41" t="n"/>
      <c r="E13" s="40" t="n"/>
      <c r="F13" s="46" t="n"/>
      <c r="G13" s="41" t="n"/>
      <c r="H13" s="41" t="n"/>
      <c r="I13" s="41" t="n"/>
      <c r="J13" s="41" t="n"/>
      <c r="K13" s="41" t="n"/>
      <c r="L13" s="41" t="n"/>
      <c r="M13" s="41" t="n"/>
      <c r="N13" s="41" t="n"/>
      <c r="O13" s="41" t="n"/>
      <c r="P13" s="41" t="n"/>
      <c r="Q13" s="41" t="n"/>
      <c r="R13" s="41" t="n"/>
      <c r="S13" s="41" t="n"/>
      <c r="T13" s="41" t="n"/>
      <c r="U13" s="41" t="n"/>
      <c r="V13" s="45" t="n"/>
      <c r="W13" s="40" t="n"/>
      <c r="X13" s="46" t="n"/>
      <c r="Y13" s="41" t="n"/>
      <c r="Z13" s="41" t="n"/>
      <c r="AA13" s="41" t="n"/>
      <c r="AB13" s="41" t="n"/>
      <c r="AC13" s="41" t="n"/>
      <c r="AD13" s="41" t="n"/>
      <c r="AE13" s="41" t="n"/>
      <c r="AF13" s="41" t="n"/>
      <c r="AG13" s="41" t="n"/>
      <c r="AH13" s="41" t="n"/>
      <c r="AI13" s="41" t="n"/>
      <c r="AJ13" s="41" t="n"/>
      <c r="AK13" s="41" t="n"/>
      <c r="AL13" s="41" t="n"/>
      <c r="AM13" s="41" t="n"/>
      <c r="AN13" s="45" t="n"/>
      <c r="AO13" s="50">
        <f>IF(ISNUMBER(G13),G13,"")</f>
        <v/>
      </c>
      <c r="AP13" s="50">
        <f>IF(AND(ISNUMBER(H13),ISNUMBER(I13)),MIN(H13,I13),"")</f>
        <v/>
      </c>
      <c r="AQ13" s="50">
        <f>IF(AND(ISNUMBER(J13),ISNUMBER(K13)),MIN(J13,K13),"")</f>
        <v/>
      </c>
      <c r="AR13" s="50">
        <f>IF(AND(ISNUMBER(L13),ISNUMBER(M13)),IF(N13=1,0,MIN(L13,M13)),"")</f>
        <v/>
      </c>
      <c r="AS13" s="50">
        <f>IF(AND(ISNUMBER(O13),ISNUMBER(P13)),MIN(O13,P13),"")</f>
        <v/>
      </c>
      <c r="AT13" s="50">
        <f>IF(ISNUMBER(Q13),IF(R13=1,0,Q13),"")</f>
        <v/>
      </c>
      <c r="AU13" s="50">
        <f>IF(AND(ISNUMBER(S13),ISNUMBER(T13)),IF(U13=1,0,MIN(S13,T13)),"")</f>
        <v/>
      </c>
      <c r="AV13" s="50">
        <f>IF(COUNT(AO13:AU13)=7,SUM(AO13:AU13),"")</f>
        <v/>
      </c>
      <c r="AW13" s="50">
        <f>IF(ISNUMBER(AV13),--(H13&lt;&gt;I13)+--(J13&lt;&gt;K13)+--(L13&lt;&gt;M13)+--(O13&lt;&gt;P13)+--(S13&lt;&gt;T13),"")</f>
        <v/>
      </c>
      <c r="AX13" s="50">
        <f>IF(ISNUMBER(AV13),COUNT(N13,R13,U13),"")</f>
        <v/>
      </c>
      <c r="AY13" s="50">
        <f>IF(ISNUMBER(Y13),Y13,"")</f>
        <v/>
      </c>
      <c r="AZ13" s="50">
        <f>IF(AND(ISNUMBER(Z13),ISNUMBER(AA13)),MIN(Z13,AA13),"")</f>
        <v/>
      </c>
      <c r="BA13" s="50">
        <f>IF(AND(ISNUMBER(AB13),ISNUMBER(AC13)),MIN(AB13,AC13),"")</f>
        <v/>
      </c>
      <c r="BB13" s="50">
        <f>IF(AND(ISNUMBER(AD13),ISNUMBER(AE13)),IF(AF13=1,0,MIN(AD13,AE13)),"")</f>
        <v/>
      </c>
      <c r="BC13" s="50">
        <f>IF(AND(ISNUMBER(AG13),ISNUMBER(AH13)),MIN(AG13,AH13),"")</f>
        <v/>
      </c>
      <c r="BD13" s="50">
        <f>IF(ISNUMBER(AI13),IF(AJ13=1,0,AI13),"")</f>
        <v/>
      </c>
      <c r="BE13" s="50">
        <f>IF(AND(ISNUMBER(AK13),ISNUMBER(AL13)),IF(AM13=1,0,MIN(AK13,AL13)),"")</f>
        <v/>
      </c>
      <c r="BF13" s="50">
        <f>IF(COUNT(AY13:BE13)=7,SUM(AY13:BE13),"")</f>
        <v/>
      </c>
      <c r="BG13" s="50">
        <f>IF(ISNUMBER(BF13),--(Z13&lt;&gt;AA13)+--(AB13&lt;&gt;AC13)+--(AD13&lt;&gt;AE13)+--(AG13&lt;&gt;AH13)+--(AK13&lt;&gt;AL13),"")</f>
        <v/>
      </c>
      <c r="BH13" s="50">
        <f>IF(ISNUMBER(BF13),COUNT(AF13,AJ13,AM13),"")</f>
        <v/>
      </c>
      <c r="BI13" s="47">
        <f>IF(ISNUMBER(AV13),AV13,IF(ISNUMBER(V13),V13,""))</f>
        <v/>
      </c>
      <c r="BJ13" s="47">
        <f>IF(ISNUMBER(BF13),BF13,IF(ISNUMBER(AN13),AN13,""))</f>
        <v/>
      </c>
      <c r="BK13" s="47">
        <f>IF(AND(ISNUMBER(BI13),ISNUMBER(BJ13)),BJ13-BI13,"")</f>
        <v/>
      </c>
      <c r="BL13" s="42">
        <f>IF(ISNUMBER(AV13),"하위항목",IF(ISNUMBER(V13),"SPSS총점",""))</f>
        <v/>
      </c>
      <c r="BM13" s="42">
        <f>IF(ISNUMBER(BF13),"하위항목",IF(ISNUMBER(AN13),"SPSS총점",""))</f>
        <v/>
      </c>
      <c r="BN13" s="50">
        <f>IF($A13="","",IFERROR(IF(ISNUMBER(INDEX('FMS_평가자2'!$AP$4:$AP$33,MATCH($A13,'FMS_평가자2'!$A$4:$A$33,0))),INDEX('FMS_평가자2'!$AP$4:$AP$33,MATCH($A13,'FMS_평가자2'!$A$4:$A$33,0)),""),""))</f>
        <v/>
      </c>
      <c r="BO13" s="50">
        <f>IF($A13="","",IFERROR(IF(ISNUMBER(INDEX('FMS_평가자2'!$AY$4:$AY$33,MATCH($A13,'FMS_평가자2'!$A$4:$A$33,0))),INDEX('FMS_평가자2'!$AY$4:$AY$33,MATCH($A13,'FMS_평가자2'!$A$4:$A$33,0)),""),""))</f>
        <v/>
      </c>
      <c r="BP13" s="47">
        <f>IF(AND(ISNUMBER(AV13),ISNUMBER(BN13)),(AV13+BN13)/2,"")</f>
        <v/>
      </c>
      <c r="BQ13" s="47">
        <f>IF(AND(ISNUMBER(BF13),ISNUMBER(BO13)),(BF13+BO13)/2,"")</f>
        <v/>
      </c>
      <c r="BR13" s="47">
        <f>IF(AND(ISNUMBER(BP13),ISNUMBER(BQ13)),BQ13-BP13,"")</f>
        <v/>
      </c>
      <c r="BS13" s="51">
        <f>IF(A13="","",TRIM(IF(B13="ID없음","대상자_VO2max 시트에 없는 ID ","")&amp;IF(LEN(A13)&lt;&gt;LEN(TRIM(A13)),"ID 앞뒤 공백 ","")&amp;IF(COUNTIF($A$4:$A$33,A13)&gt;1,"ID 중복 ","")&amp;IF(AND(B13&lt;&gt;"ID없음",OR(B13="",AND(B13&lt;&gt;1,B13&lt;&gt;2))),"집단 코드 확인(대상자 시트) ","")&amp;IF(AND(B13&lt;&gt;"ID없음",OR(C13="",AND(C13&lt;&gt;0,C13&lt;&gt;1))),"분석포함 코드 확인 ","")&amp;IF(AND(COUNT(G13,H13,I13,J13,K13,L13,M13,O13,P13,Q13,S13,T13)&gt;0,COUNT(G13,H13,I13,J13,K13,L13,M13,O13,P13,Q13,S13,T13)&lt;12),"사전 동작점수 일부 빈칸 ","")&amp;IF(AND(COUNT(Y13,Z13,AA13,AB13,AC13,AD13,AE13,AG13,AH13,AI13,AK13,AL13)&gt;0,COUNT(Y13,Z13,AA13,AB13,AC13,AD13,AE13,AG13,AH13,AI13,AK13,AL13)&lt;12),"사후 동작점수 일부 빈칸 ","")&amp;IF(AND(V13&lt;&gt;"",NOT(ISNUMBER(V13))),"사전 SPSS총점 숫자 아님 ","")&amp;IF(AND(AN13&lt;&gt;"",NOT(ISNUMBER(AN13))),"사후 SPSS총점 숫자 아님 ","")&amp;IF(AND(ISNUMBER(AV13),ISNUMBER(V13)),IF(AV13&lt;&gt;V13,"사전: 계산총점≠SPSS총점 ",""),"")&amp;IF(ISNUMBER(BI13),IF(BI13&lt;&gt;INT(BI13),"사전 총점 정수 아님 ",""),"")&amp;IF(ISNUMBER(BI13),IF(OR(BI13&lt;0,BI13&gt;21),"사전 총점 범위(0–21) 밖 ",""),"")&amp;IF(AND(ISNUMBER(BF13),ISNUMBER(AN13)),IF(BF13&lt;&gt;AN13,"사후: 계산총점≠SPSS총점 ",""),"")&amp;IF(ISNUMBER(BJ13),IF(BJ13&lt;&gt;INT(BJ13),"사후 총점 정수 아님 ",""),"")&amp;IF(ISNUMBER(BJ13),IF(OR(BJ13&lt;0,BJ13&gt;21),"사후 총점 범위(0–21) 밖 ",""),"")&amp;IF(C13=1,IF(OR(NOT(ISNUMBER(BI13)),NOT(ISNUMBER(BJ13))),"분석포함인데 FMS 결측 ",""),"")))</f>
        <v/>
      </c>
    </row>
    <row r="14">
      <c r="A14" s="40" t="n"/>
      <c r="B14" s="50">
        <f>IF($A14="","",IFERROR(IF(INDEX('대상자_VO2max'!$B$4:$B$33,MATCH($A14,'대상자_VO2max'!$A$4:$A$33,0))="","",INDEX('대상자_VO2max'!$B$4:$B$33,MATCH($A14,'대상자_VO2max'!$A$4:$A$33,0))),"ID없음"))</f>
        <v/>
      </c>
      <c r="C14" s="50">
        <f>IF(ISNUMBER(D14),D14,IF($A14="","",IFERROR(IF(INDEX('대상자_VO2max'!$D$4:$D$33,MATCH($A14,'대상자_VO2max'!$A$4:$A$33,0))="","",INDEX('대상자_VO2max'!$D$4:$D$33,MATCH($A14,'대상자_VO2max'!$A$4:$A$33,0))),"ID없음")))</f>
        <v/>
      </c>
      <c r="D14" s="41" t="n"/>
      <c r="E14" s="40" t="n"/>
      <c r="F14" s="46" t="n"/>
      <c r="G14" s="41" t="n"/>
      <c r="H14" s="41" t="n"/>
      <c r="I14" s="41" t="n"/>
      <c r="J14" s="41" t="n"/>
      <c r="K14" s="41" t="n"/>
      <c r="L14" s="41" t="n"/>
      <c r="M14" s="41" t="n"/>
      <c r="N14" s="41" t="n"/>
      <c r="O14" s="41" t="n"/>
      <c r="P14" s="41" t="n"/>
      <c r="Q14" s="41" t="n"/>
      <c r="R14" s="41" t="n"/>
      <c r="S14" s="41" t="n"/>
      <c r="T14" s="41" t="n"/>
      <c r="U14" s="41" t="n"/>
      <c r="V14" s="45" t="n"/>
      <c r="W14" s="40" t="n"/>
      <c r="X14" s="46" t="n"/>
      <c r="Y14" s="41" t="n"/>
      <c r="Z14" s="41" t="n"/>
      <c r="AA14" s="41" t="n"/>
      <c r="AB14" s="41" t="n"/>
      <c r="AC14" s="41" t="n"/>
      <c r="AD14" s="41" t="n"/>
      <c r="AE14" s="41" t="n"/>
      <c r="AF14" s="41" t="n"/>
      <c r="AG14" s="41" t="n"/>
      <c r="AH14" s="41" t="n"/>
      <c r="AI14" s="41" t="n"/>
      <c r="AJ14" s="41" t="n"/>
      <c r="AK14" s="41" t="n"/>
      <c r="AL14" s="41" t="n"/>
      <c r="AM14" s="41" t="n"/>
      <c r="AN14" s="45" t="n"/>
      <c r="AO14" s="50">
        <f>IF(ISNUMBER(G14),G14,"")</f>
        <v/>
      </c>
      <c r="AP14" s="50">
        <f>IF(AND(ISNUMBER(H14),ISNUMBER(I14)),MIN(H14,I14),"")</f>
        <v/>
      </c>
      <c r="AQ14" s="50">
        <f>IF(AND(ISNUMBER(J14),ISNUMBER(K14)),MIN(J14,K14),"")</f>
        <v/>
      </c>
      <c r="AR14" s="50">
        <f>IF(AND(ISNUMBER(L14),ISNUMBER(M14)),IF(N14=1,0,MIN(L14,M14)),"")</f>
        <v/>
      </c>
      <c r="AS14" s="50">
        <f>IF(AND(ISNUMBER(O14),ISNUMBER(P14)),MIN(O14,P14),"")</f>
        <v/>
      </c>
      <c r="AT14" s="50">
        <f>IF(ISNUMBER(Q14),IF(R14=1,0,Q14),"")</f>
        <v/>
      </c>
      <c r="AU14" s="50">
        <f>IF(AND(ISNUMBER(S14),ISNUMBER(T14)),IF(U14=1,0,MIN(S14,T14)),"")</f>
        <v/>
      </c>
      <c r="AV14" s="50">
        <f>IF(COUNT(AO14:AU14)=7,SUM(AO14:AU14),"")</f>
        <v/>
      </c>
      <c r="AW14" s="50">
        <f>IF(ISNUMBER(AV14),--(H14&lt;&gt;I14)+--(J14&lt;&gt;K14)+--(L14&lt;&gt;M14)+--(O14&lt;&gt;P14)+--(S14&lt;&gt;T14),"")</f>
        <v/>
      </c>
      <c r="AX14" s="50">
        <f>IF(ISNUMBER(AV14),COUNT(N14,R14,U14),"")</f>
        <v/>
      </c>
      <c r="AY14" s="50">
        <f>IF(ISNUMBER(Y14),Y14,"")</f>
        <v/>
      </c>
      <c r="AZ14" s="50">
        <f>IF(AND(ISNUMBER(Z14),ISNUMBER(AA14)),MIN(Z14,AA14),"")</f>
        <v/>
      </c>
      <c r="BA14" s="50">
        <f>IF(AND(ISNUMBER(AB14),ISNUMBER(AC14)),MIN(AB14,AC14),"")</f>
        <v/>
      </c>
      <c r="BB14" s="50">
        <f>IF(AND(ISNUMBER(AD14),ISNUMBER(AE14)),IF(AF14=1,0,MIN(AD14,AE14)),"")</f>
        <v/>
      </c>
      <c r="BC14" s="50">
        <f>IF(AND(ISNUMBER(AG14),ISNUMBER(AH14)),MIN(AG14,AH14),"")</f>
        <v/>
      </c>
      <c r="BD14" s="50">
        <f>IF(ISNUMBER(AI14),IF(AJ14=1,0,AI14),"")</f>
        <v/>
      </c>
      <c r="BE14" s="50">
        <f>IF(AND(ISNUMBER(AK14),ISNUMBER(AL14)),IF(AM14=1,0,MIN(AK14,AL14)),"")</f>
        <v/>
      </c>
      <c r="BF14" s="50">
        <f>IF(COUNT(AY14:BE14)=7,SUM(AY14:BE14),"")</f>
        <v/>
      </c>
      <c r="BG14" s="50">
        <f>IF(ISNUMBER(BF14),--(Z14&lt;&gt;AA14)+--(AB14&lt;&gt;AC14)+--(AD14&lt;&gt;AE14)+--(AG14&lt;&gt;AH14)+--(AK14&lt;&gt;AL14),"")</f>
        <v/>
      </c>
      <c r="BH14" s="50">
        <f>IF(ISNUMBER(BF14),COUNT(AF14,AJ14,AM14),"")</f>
        <v/>
      </c>
      <c r="BI14" s="47">
        <f>IF(ISNUMBER(AV14),AV14,IF(ISNUMBER(V14),V14,""))</f>
        <v/>
      </c>
      <c r="BJ14" s="47">
        <f>IF(ISNUMBER(BF14),BF14,IF(ISNUMBER(AN14),AN14,""))</f>
        <v/>
      </c>
      <c r="BK14" s="47">
        <f>IF(AND(ISNUMBER(BI14),ISNUMBER(BJ14)),BJ14-BI14,"")</f>
        <v/>
      </c>
      <c r="BL14" s="42">
        <f>IF(ISNUMBER(AV14),"하위항목",IF(ISNUMBER(V14),"SPSS총점",""))</f>
        <v/>
      </c>
      <c r="BM14" s="42">
        <f>IF(ISNUMBER(BF14),"하위항목",IF(ISNUMBER(AN14),"SPSS총점",""))</f>
        <v/>
      </c>
      <c r="BN14" s="50">
        <f>IF($A14="","",IFERROR(IF(ISNUMBER(INDEX('FMS_평가자2'!$AP$4:$AP$33,MATCH($A14,'FMS_평가자2'!$A$4:$A$33,0))),INDEX('FMS_평가자2'!$AP$4:$AP$33,MATCH($A14,'FMS_평가자2'!$A$4:$A$33,0)),""),""))</f>
        <v/>
      </c>
      <c r="BO14" s="50">
        <f>IF($A14="","",IFERROR(IF(ISNUMBER(INDEX('FMS_평가자2'!$AY$4:$AY$33,MATCH($A14,'FMS_평가자2'!$A$4:$A$33,0))),INDEX('FMS_평가자2'!$AY$4:$AY$33,MATCH($A14,'FMS_평가자2'!$A$4:$A$33,0)),""),""))</f>
        <v/>
      </c>
      <c r="BP14" s="47">
        <f>IF(AND(ISNUMBER(AV14),ISNUMBER(BN14)),(AV14+BN14)/2,"")</f>
        <v/>
      </c>
      <c r="BQ14" s="47">
        <f>IF(AND(ISNUMBER(BF14),ISNUMBER(BO14)),(BF14+BO14)/2,"")</f>
        <v/>
      </c>
      <c r="BR14" s="47">
        <f>IF(AND(ISNUMBER(BP14),ISNUMBER(BQ14)),BQ14-BP14,"")</f>
        <v/>
      </c>
      <c r="BS14" s="51">
        <f>IF(A14="","",TRIM(IF(B14="ID없음","대상자_VO2max 시트에 없는 ID ","")&amp;IF(LEN(A14)&lt;&gt;LEN(TRIM(A14)),"ID 앞뒤 공백 ","")&amp;IF(COUNTIF($A$4:$A$33,A14)&gt;1,"ID 중복 ","")&amp;IF(AND(B14&lt;&gt;"ID없음",OR(B14="",AND(B14&lt;&gt;1,B14&lt;&gt;2))),"집단 코드 확인(대상자 시트) ","")&amp;IF(AND(B14&lt;&gt;"ID없음",OR(C14="",AND(C14&lt;&gt;0,C14&lt;&gt;1))),"분석포함 코드 확인 ","")&amp;IF(AND(COUNT(G14,H14,I14,J14,K14,L14,M14,O14,P14,Q14,S14,T14)&gt;0,COUNT(G14,H14,I14,J14,K14,L14,M14,O14,P14,Q14,S14,T14)&lt;12),"사전 동작점수 일부 빈칸 ","")&amp;IF(AND(COUNT(Y14,Z14,AA14,AB14,AC14,AD14,AE14,AG14,AH14,AI14,AK14,AL14)&gt;0,COUNT(Y14,Z14,AA14,AB14,AC14,AD14,AE14,AG14,AH14,AI14,AK14,AL14)&lt;12),"사후 동작점수 일부 빈칸 ","")&amp;IF(AND(V14&lt;&gt;"",NOT(ISNUMBER(V14))),"사전 SPSS총점 숫자 아님 ","")&amp;IF(AND(AN14&lt;&gt;"",NOT(ISNUMBER(AN14))),"사후 SPSS총점 숫자 아님 ","")&amp;IF(AND(ISNUMBER(AV14),ISNUMBER(V14)),IF(AV14&lt;&gt;V14,"사전: 계산총점≠SPSS총점 ",""),"")&amp;IF(ISNUMBER(BI14),IF(BI14&lt;&gt;INT(BI14),"사전 총점 정수 아님 ",""),"")&amp;IF(ISNUMBER(BI14),IF(OR(BI14&lt;0,BI14&gt;21),"사전 총점 범위(0–21) 밖 ",""),"")&amp;IF(AND(ISNUMBER(BF14),ISNUMBER(AN14)),IF(BF14&lt;&gt;AN14,"사후: 계산총점≠SPSS총점 ",""),"")&amp;IF(ISNUMBER(BJ14),IF(BJ14&lt;&gt;INT(BJ14),"사후 총점 정수 아님 ",""),"")&amp;IF(ISNUMBER(BJ14),IF(OR(BJ14&lt;0,BJ14&gt;21),"사후 총점 범위(0–21) 밖 ",""),"")&amp;IF(C14=1,IF(OR(NOT(ISNUMBER(BI14)),NOT(ISNUMBER(BJ14))),"분석포함인데 FMS 결측 ",""),"")))</f>
        <v/>
      </c>
    </row>
    <row r="15">
      <c r="A15" s="40" t="n"/>
      <c r="B15" s="50">
        <f>IF($A15="","",IFERROR(IF(INDEX('대상자_VO2max'!$B$4:$B$33,MATCH($A15,'대상자_VO2max'!$A$4:$A$33,0))="","",INDEX('대상자_VO2max'!$B$4:$B$33,MATCH($A15,'대상자_VO2max'!$A$4:$A$33,0))),"ID없음"))</f>
        <v/>
      </c>
      <c r="C15" s="50">
        <f>IF(ISNUMBER(D15),D15,IF($A15="","",IFERROR(IF(INDEX('대상자_VO2max'!$D$4:$D$33,MATCH($A15,'대상자_VO2max'!$A$4:$A$33,0))="","",INDEX('대상자_VO2max'!$D$4:$D$33,MATCH($A15,'대상자_VO2max'!$A$4:$A$33,0))),"ID없음")))</f>
        <v/>
      </c>
      <c r="D15" s="41" t="n"/>
      <c r="E15" s="40" t="n"/>
      <c r="F15" s="46" t="n"/>
      <c r="G15" s="41" t="n"/>
      <c r="H15" s="41" t="n"/>
      <c r="I15" s="41" t="n"/>
      <c r="J15" s="41" t="n"/>
      <c r="K15" s="41" t="n"/>
      <c r="L15" s="41" t="n"/>
      <c r="M15" s="41" t="n"/>
      <c r="N15" s="41" t="n"/>
      <c r="O15" s="41" t="n"/>
      <c r="P15" s="41" t="n"/>
      <c r="Q15" s="41" t="n"/>
      <c r="R15" s="41" t="n"/>
      <c r="S15" s="41" t="n"/>
      <c r="T15" s="41" t="n"/>
      <c r="U15" s="41" t="n"/>
      <c r="V15" s="45" t="n"/>
      <c r="W15" s="40" t="n"/>
      <c r="X15" s="46" t="n"/>
      <c r="Y15" s="41" t="n"/>
      <c r="Z15" s="41" t="n"/>
      <c r="AA15" s="41" t="n"/>
      <c r="AB15" s="41" t="n"/>
      <c r="AC15" s="41" t="n"/>
      <c r="AD15" s="41" t="n"/>
      <c r="AE15" s="41" t="n"/>
      <c r="AF15" s="41" t="n"/>
      <c r="AG15" s="41" t="n"/>
      <c r="AH15" s="41" t="n"/>
      <c r="AI15" s="41" t="n"/>
      <c r="AJ15" s="41" t="n"/>
      <c r="AK15" s="41" t="n"/>
      <c r="AL15" s="41" t="n"/>
      <c r="AM15" s="41" t="n"/>
      <c r="AN15" s="45" t="n"/>
      <c r="AO15" s="50">
        <f>IF(ISNUMBER(G15),G15,"")</f>
        <v/>
      </c>
      <c r="AP15" s="50">
        <f>IF(AND(ISNUMBER(H15),ISNUMBER(I15)),MIN(H15,I15),"")</f>
        <v/>
      </c>
      <c r="AQ15" s="50">
        <f>IF(AND(ISNUMBER(J15),ISNUMBER(K15)),MIN(J15,K15),"")</f>
        <v/>
      </c>
      <c r="AR15" s="50">
        <f>IF(AND(ISNUMBER(L15),ISNUMBER(M15)),IF(N15=1,0,MIN(L15,M15)),"")</f>
        <v/>
      </c>
      <c r="AS15" s="50">
        <f>IF(AND(ISNUMBER(O15),ISNUMBER(P15)),MIN(O15,P15),"")</f>
        <v/>
      </c>
      <c r="AT15" s="50">
        <f>IF(ISNUMBER(Q15),IF(R15=1,0,Q15),"")</f>
        <v/>
      </c>
      <c r="AU15" s="50">
        <f>IF(AND(ISNUMBER(S15),ISNUMBER(T15)),IF(U15=1,0,MIN(S15,T15)),"")</f>
        <v/>
      </c>
      <c r="AV15" s="50">
        <f>IF(COUNT(AO15:AU15)=7,SUM(AO15:AU15),"")</f>
        <v/>
      </c>
      <c r="AW15" s="50">
        <f>IF(ISNUMBER(AV15),--(H15&lt;&gt;I15)+--(J15&lt;&gt;K15)+--(L15&lt;&gt;M15)+--(O15&lt;&gt;P15)+--(S15&lt;&gt;T15),"")</f>
        <v/>
      </c>
      <c r="AX15" s="50">
        <f>IF(ISNUMBER(AV15),COUNT(N15,R15,U15),"")</f>
        <v/>
      </c>
      <c r="AY15" s="50">
        <f>IF(ISNUMBER(Y15),Y15,"")</f>
        <v/>
      </c>
      <c r="AZ15" s="50">
        <f>IF(AND(ISNUMBER(Z15),ISNUMBER(AA15)),MIN(Z15,AA15),"")</f>
        <v/>
      </c>
      <c r="BA15" s="50">
        <f>IF(AND(ISNUMBER(AB15),ISNUMBER(AC15)),MIN(AB15,AC15),"")</f>
        <v/>
      </c>
      <c r="BB15" s="50">
        <f>IF(AND(ISNUMBER(AD15),ISNUMBER(AE15)),IF(AF15=1,0,MIN(AD15,AE15)),"")</f>
        <v/>
      </c>
      <c r="BC15" s="50">
        <f>IF(AND(ISNUMBER(AG15),ISNUMBER(AH15)),MIN(AG15,AH15),"")</f>
        <v/>
      </c>
      <c r="BD15" s="50">
        <f>IF(ISNUMBER(AI15),IF(AJ15=1,0,AI15),"")</f>
        <v/>
      </c>
      <c r="BE15" s="50">
        <f>IF(AND(ISNUMBER(AK15),ISNUMBER(AL15)),IF(AM15=1,0,MIN(AK15,AL15)),"")</f>
        <v/>
      </c>
      <c r="BF15" s="50">
        <f>IF(COUNT(AY15:BE15)=7,SUM(AY15:BE15),"")</f>
        <v/>
      </c>
      <c r="BG15" s="50">
        <f>IF(ISNUMBER(BF15),--(Z15&lt;&gt;AA15)+--(AB15&lt;&gt;AC15)+--(AD15&lt;&gt;AE15)+--(AG15&lt;&gt;AH15)+--(AK15&lt;&gt;AL15),"")</f>
        <v/>
      </c>
      <c r="BH15" s="50">
        <f>IF(ISNUMBER(BF15),COUNT(AF15,AJ15,AM15),"")</f>
        <v/>
      </c>
      <c r="BI15" s="47">
        <f>IF(ISNUMBER(AV15),AV15,IF(ISNUMBER(V15),V15,""))</f>
        <v/>
      </c>
      <c r="BJ15" s="47">
        <f>IF(ISNUMBER(BF15),BF15,IF(ISNUMBER(AN15),AN15,""))</f>
        <v/>
      </c>
      <c r="BK15" s="47">
        <f>IF(AND(ISNUMBER(BI15),ISNUMBER(BJ15)),BJ15-BI15,"")</f>
        <v/>
      </c>
      <c r="BL15" s="42">
        <f>IF(ISNUMBER(AV15),"하위항목",IF(ISNUMBER(V15),"SPSS총점",""))</f>
        <v/>
      </c>
      <c r="BM15" s="42">
        <f>IF(ISNUMBER(BF15),"하위항목",IF(ISNUMBER(AN15),"SPSS총점",""))</f>
        <v/>
      </c>
      <c r="BN15" s="50">
        <f>IF($A15="","",IFERROR(IF(ISNUMBER(INDEX('FMS_평가자2'!$AP$4:$AP$33,MATCH($A15,'FMS_평가자2'!$A$4:$A$33,0))),INDEX('FMS_평가자2'!$AP$4:$AP$33,MATCH($A15,'FMS_평가자2'!$A$4:$A$33,0)),""),""))</f>
        <v/>
      </c>
      <c r="BO15" s="50">
        <f>IF($A15="","",IFERROR(IF(ISNUMBER(INDEX('FMS_평가자2'!$AY$4:$AY$33,MATCH($A15,'FMS_평가자2'!$A$4:$A$33,0))),INDEX('FMS_평가자2'!$AY$4:$AY$33,MATCH($A15,'FMS_평가자2'!$A$4:$A$33,0)),""),""))</f>
        <v/>
      </c>
      <c r="BP15" s="47">
        <f>IF(AND(ISNUMBER(AV15),ISNUMBER(BN15)),(AV15+BN15)/2,"")</f>
        <v/>
      </c>
      <c r="BQ15" s="47">
        <f>IF(AND(ISNUMBER(BF15),ISNUMBER(BO15)),(BF15+BO15)/2,"")</f>
        <v/>
      </c>
      <c r="BR15" s="47">
        <f>IF(AND(ISNUMBER(BP15),ISNUMBER(BQ15)),BQ15-BP15,"")</f>
        <v/>
      </c>
      <c r="BS15" s="51">
        <f>IF(A15="","",TRIM(IF(B15="ID없음","대상자_VO2max 시트에 없는 ID ","")&amp;IF(LEN(A15)&lt;&gt;LEN(TRIM(A15)),"ID 앞뒤 공백 ","")&amp;IF(COUNTIF($A$4:$A$33,A15)&gt;1,"ID 중복 ","")&amp;IF(AND(B15&lt;&gt;"ID없음",OR(B15="",AND(B15&lt;&gt;1,B15&lt;&gt;2))),"집단 코드 확인(대상자 시트) ","")&amp;IF(AND(B15&lt;&gt;"ID없음",OR(C15="",AND(C15&lt;&gt;0,C15&lt;&gt;1))),"분석포함 코드 확인 ","")&amp;IF(AND(COUNT(G15,H15,I15,J15,K15,L15,M15,O15,P15,Q15,S15,T15)&gt;0,COUNT(G15,H15,I15,J15,K15,L15,M15,O15,P15,Q15,S15,T15)&lt;12),"사전 동작점수 일부 빈칸 ","")&amp;IF(AND(COUNT(Y15,Z15,AA15,AB15,AC15,AD15,AE15,AG15,AH15,AI15,AK15,AL15)&gt;0,COUNT(Y15,Z15,AA15,AB15,AC15,AD15,AE15,AG15,AH15,AI15,AK15,AL15)&lt;12),"사후 동작점수 일부 빈칸 ","")&amp;IF(AND(V15&lt;&gt;"",NOT(ISNUMBER(V15))),"사전 SPSS총점 숫자 아님 ","")&amp;IF(AND(AN15&lt;&gt;"",NOT(ISNUMBER(AN15))),"사후 SPSS총점 숫자 아님 ","")&amp;IF(AND(ISNUMBER(AV15),ISNUMBER(V15)),IF(AV15&lt;&gt;V15,"사전: 계산총점≠SPSS총점 ",""),"")&amp;IF(ISNUMBER(BI15),IF(BI15&lt;&gt;INT(BI15),"사전 총점 정수 아님 ",""),"")&amp;IF(ISNUMBER(BI15),IF(OR(BI15&lt;0,BI15&gt;21),"사전 총점 범위(0–21) 밖 ",""),"")&amp;IF(AND(ISNUMBER(BF15),ISNUMBER(AN15)),IF(BF15&lt;&gt;AN15,"사후: 계산총점≠SPSS총점 ",""),"")&amp;IF(ISNUMBER(BJ15),IF(BJ15&lt;&gt;INT(BJ15),"사후 총점 정수 아님 ",""),"")&amp;IF(ISNUMBER(BJ15),IF(OR(BJ15&lt;0,BJ15&gt;21),"사후 총점 범위(0–21) 밖 ",""),"")&amp;IF(C15=1,IF(OR(NOT(ISNUMBER(BI15)),NOT(ISNUMBER(BJ15))),"분석포함인데 FMS 결측 ",""),"")))</f>
        <v/>
      </c>
    </row>
    <row r="16">
      <c r="A16" s="40" t="n"/>
      <c r="B16" s="50">
        <f>IF($A16="","",IFERROR(IF(INDEX('대상자_VO2max'!$B$4:$B$33,MATCH($A16,'대상자_VO2max'!$A$4:$A$33,0))="","",INDEX('대상자_VO2max'!$B$4:$B$33,MATCH($A16,'대상자_VO2max'!$A$4:$A$33,0))),"ID없음"))</f>
        <v/>
      </c>
      <c r="C16" s="50">
        <f>IF(ISNUMBER(D16),D16,IF($A16="","",IFERROR(IF(INDEX('대상자_VO2max'!$D$4:$D$33,MATCH($A16,'대상자_VO2max'!$A$4:$A$33,0))="","",INDEX('대상자_VO2max'!$D$4:$D$33,MATCH($A16,'대상자_VO2max'!$A$4:$A$33,0))),"ID없음")))</f>
        <v/>
      </c>
      <c r="D16" s="41" t="n"/>
      <c r="E16" s="40" t="n"/>
      <c r="F16" s="46" t="n"/>
      <c r="G16" s="41" t="n"/>
      <c r="H16" s="41" t="n"/>
      <c r="I16" s="41" t="n"/>
      <c r="J16" s="41" t="n"/>
      <c r="K16" s="41" t="n"/>
      <c r="L16" s="41" t="n"/>
      <c r="M16" s="41" t="n"/>
      <c r="N16" s="41" t="n"/>
      <c r="O16" s="41" t="n"/>
      <c r="P16" s="41" t="n"/>
      <c r="Q16" s="41" t="n"/>
      <c r="R16" s="41" t="n"/>
      <c r="S16" s="41" t="n"/>
      <c r="T16" s="41" t="n"/>
      <c r="U16" s="41" t="n"/>
      <c r="V16" s="45" t="n"/>
      <c r="W16" s="40" t="n"/>
      <c r="X16" s="46" t="n"/>
      <c r="Y16" s="41" t="n"/>
      <c r="Z16" s="41" t="n"/>
      <c r="AA16" s="41" t="n"/>
      <c r="AB16" s="41" t="n"/>
      <c r="AC16" s="41" t="n"/>
      <c r="AD16" s="41" t="n"/>
      <c r="AE16" s="41" t="n"/>
      <c r="AF16" s="41" t="n"/>
      <c r="AG16" s="41" t="n"/>
      <c r="AH16" s="41" t="n"/>
      <c r="AI16" s="41" t="n"/>
      <c r="AJ16" s="41" t="n"/>
      <c r="AK16" s="41" t="n"/>
      <c r="AL16" s="41" t="n"/>
      <c r="AM16" s="41" t="n"/>
      <c r="AN16" s="45" t="n"/>
      <c r="AO16" s="50">
        <f>IF(ISNUMBER(G16),G16,"")</f>
        <v/>
      </c>
      <c r="AP16" s="50">
        <f>IF(AND(ISNUMBER(H16),ISNUMBER(I16)),MIN(H16,I16),"")</f>
        <v/>
      </c>
      <c r="AQ16" s="50">
        <f>IF(AND(ISNUMBER(J16),ISNUMBER(K16)),MIN(J16,K16),"")</f>
        <v/>
      </c>
      <c r="AR16" s="50">
        <f>IF(AND(ISNUMBER(L16),ISNUMBER(M16)),IF(N16=1,0,MIN(L16,M16)),"")</f>
        <v/>
      </c>
      <c r="AS16" s="50">
        <f>IF(AND(ISNUMBER(O16),ISNUMBER(P16)),MIN(O16,P16),"")</f>
        <v/>
      </c>
      <c r="AT16" s="50">
        <f>IF(ISNUMBER(Q16),IF(R16=1,0,Q16),"")</f>
        <v/>
      </c>
      <c r="AU16" s="50">
        <f>IF(AND(ISNUMBER(S16),ISNUMBER(T16)),IF(U16=1,0,MIN(S16,T16)),"")</f>
        <v/>
      </c>
      <c r="AV16" s="50">
        <f>IF(COUNT(AO16:AU16)=7,SUM(AO16:AU16),"")</f>
        <v/>
      </c>
      <c r="AW16" s="50">
        <f>IF(ISNUMBER(AV16),--(H16&lt;&gt;I16)+--(J16&lt;&gt;K16)+--(L16&lt;&gt;M16)+--(O16&lt;&gt;P16)+--(S16&lt;&gt;T16),"")</f>
        <v/>
      </c>
      <c r="AX16" s="50">
        <f>IF(ISNUMBER(AV16),COUNT(N16,R16,U16),"")</f>
        <v/>
      </c>
      <c r="AY16" s="50">
        <f>IF(ISNUMBER(Y16),Y16,"")</f>
        <v/>
      </c>
      <c r="AZ16" s="50">
        <f>IF(AND(ISNUMBER(Z16),ISNUMBER(AA16)),MIN(Z16,AA16),"")</f>
        <v/>
      </c>
      <c r="BA16" s="50">
        <f>IF(AND(ISNUMBER(AB16),ISNUMBER(AC16)),MIN(AB16,AC16),"")</f>
        <v/>
      </c>
      <c r="BB16" s="50">
        <f>IF(AND(ISNUMBER(AD16),ISNUMBER(AE16)),IF(AF16=1,0,MIN(AD16,AE16)),"")</f>
        <v/>
      </c>
      <c r="BC16" s="50">
        <f>IF(AND(ISNUMBER(AG16),ISNUMBER(AH16)),MIN(AG16,AH16),"")</f>
        <v/>
      </c>
      <c r="BD16" s="50">
        <f>IF(ISNUMBER(AI16),IF(AJ16=1,0,AI16),"")</f>
        <v/>
      </c>
      <c r="BE16" s="50">
        <f>IF(AND(ISNUMBER(AK16),ISNUMBER(AL16)),IF(AM16=1,0,MIN(AK16,AL16)),"")</f>
        <v/>
      </c>
      <c r="BF16" s="50">
        <f>IF(COUNT(AY16:BE16)=7,SUM(AY16:BE16),"")</f>
        <v/>
      </c>
      <c r="BG16" s="50">
        <f>IF(ISNUMBER(BF16),--(Z16&lt;&gt;AA16)+--(AB16&lt;&gt;AC16)+--(AD16&lt;&gt;AE16)+--(AG16&lt;&gt;AH16)+--(AK16&lt;&gt;AL16),"")</f>
        <v/>
      </c>
      <c r="BH16" s="50">
        <f>IF(ISNUMBER(BF16),COUNT(AF16,AJ16,AM16),"")</f>
        <v/>
      </c>
      <c r="BI16" s="47">
        <f>IF(ISNUMBER(AV16),AV16,IF(ISNUMBER(V16),V16,""))</f>
        <v/>
      </c>
      <c r="BJ16" s="47">
        <f>IF(ISNUMBER(BF16),BF16,IF(ISNUMBER(AN16),AN16,""))</f>
        <v/>
      </c>
      <c r="BK16" s="47">
        <f>IF(AND(ISNUMBER(BI16),ISNUMBER(BJ16)),BJ16-BI16,"")</f>
        <v/>
      </c>
      <c r="BL16" s="42">
        <f>IF(ISNUMBER(AV16),"하위항목",IF(ISNUMBER(V16),"SPSS총점",""))</f>
        <v/>
      </c>
      <c r="BM16" s="42">
        <f>IF(ISNUMBER(BF16),"하위항목",IF(ISNUMBER(AN16),"SPSS총점",""))</f>
        <v/>
      </c>
      <c r="BN16" s="50">
        <f>IF($A16="","",IFERROR(IF(ISNUMBER(INDEX('FMS_평가자2'!$AP$4:$AP$33,MATCH($A16,'FMS_평가자2'!$A$4:$A$33,0))),INDEX('FMS_평가자2'!$AP$4:$AP$33,MATCH($A16,'FMS_평가자2'!$A$4:$A$33,0)),""),""))</f>
        <v/>
      </c>
      <c r="BO16" s="50">
        <f>IF($A16="","",IFERROR(IF(ISNUMBER(INDEX('FMS_평가자2'!$AY$4:$AY$33,MATCH($A16,'FMS_평가자2'!$A$4:$A$33,0))),INDEX('FMS_평가자2'!$AY$4:$AY$33,MATCH($A16,'FMS_평가자2'!$A$4:$A$33,0)),""),""))</f>
        <v/>
      </c>
      <c r="BP16" s="47">
        <f>IF(AND(ISNUMBER(AV16),ISNUMBER(BN16)),(AV16+BN16)/2,"")</f>
        <v/>
      </c>
      <c r="BQ16" s="47">
        <f>IF(AND(ISNUMBER(BF16),ISNUMBER(BO16)),(BF16+BO16)/2,"")</f>
        <v/>
      </c>
      <c r="BR16" s="47">
        <f>IF(AND(ISNUMBER(BP16),ISNUMBER(BQ16)),BQ16-BP16,"")</f>
        <v/>
      </c>
      <c r="BS16" s="51">
        <f>IF(A16="","",TRIM(IF(B16="ID없음","대상자_VO2max 시트에 없는 ID ","")&amp;IF(LEN(A16)&lt;&gt;LEN(TRIM(A16)),"ID 앞뒤 공백 ","")&amp;IF(COUNTIF($A$4:$A$33,A16)&gt;1,"ID 중복 ","")&amp;IF(AND(B16&lt;&gt;"ID없음",OR(B16="",AND(B16&lt;&gt;1,B16&lt;&gt;2))),"집단 코드 확인(대상자 시트) ","")&amp;IF(AND(B16&lt;&gt;"ID없음",OR(C16="",AND(C16&lt;&gt;0,C16&lt;&gt;1))),"분석포함 코드 확인 ","")&amp;IF(AND(COUNT(G16,H16,I16,J16,K16,L16,M16,O16,P16,Q16,S16,T16)&gt;0,COUNT(G16,H16,I16,J16,K16,L16,M16,O16,P16,Q16,S16,T16)&lt;12),"사전 동작점수 일부 빈칸 ","")&amp;IF(AND(COUNT(Y16,Z16,AA16,AB16,AC16,AD16,AE16,AG16,AH16,AI16,AK16,AL16)&gt;0,COUNT(Y16,Z16,AA16,AB16,AC16,AD16,AE16,AG16,AH16,AI16,AK16,AL16)&lt;12),"사후 동작점수 일부 빈칸 ","")&amp;IF(AND(V16&lt;&gt;"",NOT(ISNUMBER(V16))),"사전 SPSS총점 숫자 아님 ","")&amp;IF(AND(AN16&lt;&gt;"",NOT(ISNUMBER(AN16))),"사후 SPSS총점 숫자 아님 ","")&amp;IF(AND(ISNUMBER(AV16),ISNUMBER(V16)),IF(AV16&lt;&gt;V16,"사전: 계산총점≠SPSS총점 ",""),"")&amp;IF(ISNUMBER(BI16),IF(BI16&lt;&gt;INT(BI16),"사전 총점 정수 아님 ",""),"")&amp;IF(ISNUMBER(BI16),IF(OR(BI16&lt;0,BI16&gt;21),"사전 총점 범위(0–21) 밖 ",""),"")&amp;IF(AND(ISNUMBER(BF16),ISNUMBER(AN16)),IF(BF16&lt;&gt;AN16,"사후: 계산총점≠SPSS총점 ",""),"")&amp;IF(ISNUMBER(BJ16),IF(BJ16&lt;&gt;INT(BJ16),"사후 총점 정수 아님 ",""),"")&amp;IF(ISNUMBER(BJ16),IF(OR(BJ16&lt;0,BJ16&gt;21),"사후 총점 범위(0–21) 밖 ",""),"")&amp;IF(C16=1,IF(OR(NOT(ISNUMBER(BI16)),NOT(ISNUMBER(BJ16))),"분석포함인데 FMS 결측 ",""),"")))</f>
        <v/>
      </c>
    </row>
    <row r="17">
      <c r="A17" s="40" t="n"/>
      <c r="B17" s="50">
        <f>IF($A17="","",IFERROR(IF(INDEX('대상자_VO2max'!$B$4:$B$33,MATCH($A17,'대상자_VO2max'!$A$4:$A$33,0))="","",INDEX('대상자_VO2max'!$B$4:$B$33,MATCH($A17,'대상자_VO2max'!$A$4:$A$33,0))),"ID없음"))</f>
        <v/>
      </c>
      <c r="C17" s="50">
        <f>IF(ISNUMBER(D17),D17,IF($A17="","",IFERROR(IF(INDEX('대상자_VO2max'!$D$4:$D$33,MATCH($A17,'대상자_VO2max'!$A$4:$A$33,0))="","",INDEX('대상자_VO2max'!$D$4:$D$33,MATCH($A17,'대상자_VO2max'!$A$4:$A$33,0))),"ID없음")))</f>
        <v/>
      </c>
      <c r="D17" s="41" t="n"/>
      <c r="E17" s="40" t="n"/>
      <c r="F17" s="46" t="n"/>
      <c r="G17" s="41" t="n"/>
      <c r="H17" s="41" t="n"/>
      <c r="I17" s="41" t="n"/>
      <c r="J17" s="41" t="n"/>
      <c r="K17" s="41" t="n"/>
      <c r="L17" s="41" t="n"/>
      <c r="M17" s="41" t="n"/>
      <c r="N17" s="41" t="n"/>
      <c r="O17" s="41" t="n"/>
      <c r="P17" s="41" t="n"/>
      <c r="Q17" s="41" t="n"/>
      <c r="R17" s="41" t="n"/>
      <c r="S17" s="41" t="n"/>
      <c r="T17" s="41" t="n"/>
      <c r="U17" s="41" t="n"/>
      <c r="V17" s="45" t="n"/>
      <c r="W17" s="40" t="n"/>
      <c r="X17" s="46" t="n"/>
      <c r="Y17" s="41" t="n"/>
      <c r="Z17" s="41" t="n"/>
      <c r="AA17" s="41" t="n"/>
      <c r="AB17" s="41" t="n"/>
      <c r="AC17" s="41" t="n"/>
      <c r="AD17" s="41" t="n"/>
      <c r="AE17" s="41" t="n"/>
      <c r="AF17" s="41" t="n"/>
      <c r="AG17" s="41" t="n"/>
      <c r="AH17" s="41" t="n"/>
      <c r="AI17" s="41" t="n"/>
      <c r="AJ17" s="41" t="n"/>
      <c r="AK17" s="41" t="n"/>
      <c r="AL17" s="41" t="n"/>
      <c r="AM17" s="41" t="n"/>
      <c r="AN17" s="45" t="n"/>
      <c r="AO17" s="50">
        <f>IF(ISNUMBER(G17),G17,"")</f>
        <v/>
      </c>
      <c r="AP17" s="50">
        <f>IF(AND(ISNUMBER(H17),ISNUMBER(I17)),MIN(H17,I17),"")</f>
        <v/>
      </c>
      <c r="AQ17" s="50">
        <f>IF(AND(ISNUMBER(J17),ISNUMBER(K17)),MIN(J17,K17),"")</f>
        <v/>
      </c>
      <c r="AR17" s="50">
        <f>IF(AND(ISNUMBER(L17),ISNUMBER(M17)),IF(N17=1,0,MIN(L17,M17)),"")</f>
        <v/>
      </c>
      <c r="AS17" s="50">
        <f>IF(AND(ISNUMBER(O17),ISNUMBER(P17)),MIN(O17,P17),"")</f>
        <v/>
      </c>
      <c r="AT17" s="50">
        <f>IF(ISNUMBER(Q17),IF(R17=1,0,Q17),"")</f>
        <v/>
      </c>
      <c r="AU17" s="50">
        <f>IF(AND(ISNUMBER(S17),ISNUMBER(T17)),IF(U17=1,0,MIN(S17,T17)),"")</f>
        <v/>
      </c>
      <c r="AV17" s="50">
        <f>IF(COUNT(AO17:AU17)=7,SUM(AO17:AU17),"")</f>
        <v/>
      </c>
      <c r="AW17" s="50">
        <f>IF(ISNUMBER(AV17),--(H17&lt;&gt;I17)+--(J17&lt;&gt;K17)+--(L17&lt;&gt;M17)+--(O17&lt;&gt;P17)+--(S17&lt;&gt;T17),"")</f>
        <v/>
      </c>
      <c r="AX17" s="50">
        <f>IF(ISNUMBER(AV17),COUNT(N17,R17,U17),"")</f>
        <v/>
      </c>
      <c r="AY17" s="50">
        <f>IF(ISNUMBER(Y17),Y17,"")</f>
        <v/>
      </c>
      <c r="AZ17" s="50">
        <f>IF(AND(ISNUMBER(Z17),ISNUMBER(AA17)),MIN(Z17,AA17),"")</f>
        <v/>
      </c>
      <c r="BA17" s="50">
        <f>IF(AND(ISNUMBER(AB17),ISNUMBER(AC17)),MIN(AB17,AC17),"")</f>
        <v/>
      </c>
      <c r="BB17" s="50">
        <f>IF(AND(ISNUMBER(AD17),ISNUMBER(AE17)),IF(AF17=1,0,MIN(AD17,AE17)),"")</f>
        <v/>
      </c>
      <c r="BC17" s="50">
        <f>IF(AND(ISNUMBER(AG17),ISNUMBER(AH17)),MIN(AG17,AH17),"")</f>
        <v/>
      </c>
      <c r="BD17" s="50">
        <f>IF(ISNUMBER(AI17),IF(AJ17=1,0,AI17),"")</f>
        <v/>
      </c>
      <c r="BE17" s="50">
        <f>IF(AND(ISNUMBER(AK17),ISNUMBER(AL17)),IF(AM17=1,0,MIN(AK17,AL17)),"")</f>
        <v/>
      </c>
      <c r="BF17" s="50">
        <f>IF(COUNT(AY17:BE17)=7,SUM(AY17:BE17),"")</f>
        <v/>
      </c>
      <c r="BG17" s="50">
        <f>IF(ISNUMBER(BF17),--(Z17&lt;&gt;AA17)+--(AB17&lt;&gt;AC17)+--(AD17&lt;&gt;AE17)+--(AG17&lt;&gt;AH17)+--(AK17&lt;&gt;AL17),"")</f>
        <v/>
      </c>
      <c r="BH17" s="50">
        <f>IF(ISNUMBER(BF17),COUNT(AF17,AJ17,AM17),"")</f>
        <v/>
      </c>
      <c r="BI17" s="47">
        <f>IF(ISNUMBER(AV17),AV17,IF(ISNUMBER(V17),V17,""))</f>
        <v/>
      </c>
      <c r="BJ17" s="47">
        <f>IF(ISNUMBER(BF17),BF17,IF(ISNUMBER(AN17),AN17,""))</f>
        <v/>
      </c>
      <c r="BK17" s="47">
        <f>IF(AND(ISNUMBER(BI17),ISNUMBER(BJ17)),BJ17-BI17,"")</f>
        <v/>
      </c>
      <c r="BL17" s="42">
        <f>IF(ISNUMBER(AV17),"하위항목",IF(ISNUMBER(V17),"SPSS총점",""))</f>
        <v/>
      </c>
      <c r="BM17" s="42">
        <f>IF(ISNUMBER(BF17),"하위항목",IF(ISNUMBER(AN17),"SPSS총점",""))</f>
        <v/>
      </c>
      <c r="BN17" s="50">
        <f>IF($A17="","",IFERROR(IF(ISNUMBER(INDEX('FMS_평가자2'!$AP$4:$AP$33,MATCH($A17,'FMS_평가자2'!$A$4:$A$33,0))),INDEX('FMS_평가자2'!$AP$4:$AP$33,MATCH($A17,'FMS_평가자2'!$A$4:$A$33,0)),""),""))</f>
        <v/>
      </c>
      <c r="BO17" s="50">
        <f>IF($A17="","",IFERROR(IF(ISNUMBER(INDEX('FMS_평가자2'!$AY$4:$AY$33,MATCH($A17,'FMS_평가자2'!$A$4:$A$33,0))),INDEX('FMS_평가자2'!$AY$4:$AY$33,MATCH($A17,'FMS_평가자2'!$A$4:$A$33,0)),""),""))</f>
        <v/>
      </c>
      <c r="BP17" s="47">
        <f>IF(AND(ISNUMBER(AV17),ISNUMBER(BN17)),(AV17+BN17)/2,"")</f>
        <v/>
      </c>
      <c r="BQ17" s="47">
        <f>IF(AND(ISNUMBER(BF17),ISNUMBER(BO17)),(BF17+BO17)/2,"")</f>
        <v/>
      </c>
      <c r="BR17" s="47">
        <f>IF(AND(ISNUMBER(BP17),ISNUMBER(BQ17)),BQ17-BP17,"")</f>
        <v/>
      </c>
      <c r="BS17" s="51">
        <f>IF(A17="","",TRIM(IF(B17="ID없음","대상자_VO2max 시트에 없는 ID ","")&amp;IF(LEN(A17)&lt;&gt;LEN(TRIM(A17)),"ID 앞뒤 공백 ","")&amp;IF(COUNTIF($A$4:$A$33,A17)&gt;1,"ID 중복 ","")&amp;IF(AND(B17&lt;&gt;"ID없음",OR(B17="",AND(B17&lt;&gt;1,B17&lt;&gt;2))),"집단 코드 확인(대상자 시트) ","")&amp;IF(AND(B17&lt;&gt;"ID없음",OR(C17="",AND(C17&lt;&gt;0,C17&lt;&gt;1))),"분석포함 코드 확인 ","")&amp;IF(AND(COUNT(G17,H17,I17,J17,K17,L17,M17,O17,P17,Q17,S17,T17)&gt;0,COUNT(G17,H17,I17,J17,K17,L17,M17,O17,P17,Q17,S17,T17)&lt;12),"사전 동작점수 일부 빈칸 ","")&amp;IF(AND(COUNT(Y17,Z17,AA17,AB17,AC17,AD17,AE17,AG17,AH17,AI17,AK17,AL17)&gt;0,COUNT(Y17,Z17,AA17,AB17,AC17,AD17,AE17,AG17,AH17,AI17,AK17,AL17)&lt;12),"사후 동작점수 일부 빈칸 ","")&amp;IF(AND(V17&lt;&gt;"",NOT(ISNUMBER(V17))),"사전 SPSS총점 숫자 아님 ","")&amp;IF(AND(AN17&lt;&gt;"",NOT(ISNUMBER(AN17))),"사후 SPSS총점 숫자 아님 ","")&amp;IF(AND(ISNUMBER(AV17),ISNUMBER(V17)),IF(AV17&lt;&gt;V17,"사전: 계산총점≠SPSS총점 ",""),"")&amp;IF(ISNUMBER(BI17),IF(BI17&lt;&gt;INT(BI17),"사전 총점 정수 아님 ",""),"")&amp;IF(ISNUMBER(BI17),IF(OR(BI17&lt;0,BI17&gt;21),"사전 총점 범위(0–21) 밖 ",""),"")&amp;IF(AND(ISNUMBER(BF17),ISNUMBER(AN17)),IF(BF17&lt;&gt;AN17,"사후: 계산총점≠SPSS총점 ",""),"")&amp;IF(ISNUMBER(BJ17),IF(BJ17&lt;&gt;INT(BJ17),"사후 총점 정수 아님 ",""),"")&amp;IF(ISNUMBER(BJ17),IF(OR(BJ17&lt;0,BJ17&gt;21),"사후 총점 범위(0–21) 밖 ",""),"")&amp;IF(C17=1,IF(OR(NOT(ISNUMBER(BI17)),NOT(ISNUMBER(BJ17))),"분석포함인데 FMS 결측 ",""),"")))</f>
        <v/>
      </c>
    </row>
    <row r="18">
      <c r="A18" s="40" t="n"/>
      <c r="B18" s="50">
        <f>IF($A18="","",IFERROR(IF(INDEX('대상자_VO2max'!$B$4:$B$33,MATCH($A18,'대상자_VO2max'!$A$4:$A$33,0))="","",INDEX('대상자_VO2max'!$B$4:$B$33,MATCH($A18,'대상자_VO2max'!$A$4:$A$33,0))),"ID없음"))</f>
        <v/>
      </c>
      <c r="C18" s="50">
        <f>IF(ISNUMBER(D18),D18,IF($A18="","",IFERROR(IF(INDEX('대상자_VO2max'!$D$4:$D$33,MATCH($A18,'대상자_VO2max'!$A$4:$A$33,0))="","",INDEX('대상자_VO2max'!$D$4:$D$33,MATCH($A18,'대상자_VO2max'!$A$4:$A$33,0))),"ID없음")))</f>
        <v/>
      </c>
      <c r="D18" s="41" t="n"/>
      <c r="E18" s="40" t="n"/>
      <c r="F18" s="46" t="n"/>
      <c r="G18" s="41" t="n"/>
      <c r="H18" s="41" t="n"/>
      <c r="I18" s="41" t="n"/>
      <c r="J18" s="41" t="n"/>
      <c r="K18" s="41" t="n"/>
      <c r="L18" s="41" t="n"/>
      <c r="M18" s="41" t="n"/>
      <c r="N18" s="41" t="n"/>
      <c r="O18" s="41" t="n"/>
      <c r="P18" s="41" t="n"/>
      <c r="Q18" s="41" t="n"/>
      <c r="R18" s="41" t="n"/>
      <c r="S18" s="41" t="n"/>
      <c r="T18" s="41" t="n"/>
      <c r="U18" s="41" t="n"/>
      <c r="V18" s="45" t="n"/>
      <c r="W18" s="40" t="n"/>
      <c r="X18" s="46" t="n"/>
      <c r="Y18" s="41" t="n"/>
      <c r="Z18" s="41" t="n"/>
      <c r="AA18" s="41" t="n"/>
      <c r="AB18" s="41" t="n"/>
      <c r="AC18" s="41" t="n"/>
      <c r="AD18" s="41" t="n"/>
      <c r="AE18" s="41" t="n"/>
      <c r="AF18" s="41" t="n"/>
      <c r="AG18" s="41" t="n"/>
      <c r="AH18" s="41" t="n"/>
      <c r="AI18" s="41" t="n"/>
      <c r="AJ18" s="41" t="n"/>
      <c r="AK18" s="41" t="n"/>
      <c r="AL18" s="41" t="n"/>
      <c r="AM18" s="41" t="n"/>
      <c r="AN18" s="45" t="n"/>
      <c r="AO18" s="50">
        <f>IF(ISNUMBER(G18),G18,"")</f>
        <v/>
      </c>
      <c r="AP18" s="50">
        <f>IF(AND(ISNUMBER(H18),ISNUMBER(I18)),MIN(H18,I18),"")</f>
        <v/>
      </c>
      <c r="AQ18" s="50">
        <f>IF(AND(ISNUMBER(J18),ISNUMBER(K18)),MIN(J18,K18),"")</f>
        <v/>
      </c>
      <c r="AR18" s="50">
        <f>IF(AND(ISNUMBER(L18),ISNUMBER(M18)),IF(N18=1,0,MIN(L18,M18)),"")</f>
        <v/>
      </c>
      <c r="AS18" s="50">
        <f>IF(AND(ISNUMBER(O18),ISNUMBER(P18)),MIN(O18,P18),"")</f>
        <v/>
      </c>
      <c r="AT18" s="50">
        <f>IF(ISNUMBER(Q18),IF(R18=1,0,Q18),"")</f>
        <v/>
      </c>
      <c r="AU18" s="50">
        <f>IF(AND(ISNUMBER(S18),ISNUMBER(T18)),IF(U18=1,0,MIN(S18,T18)),"")</f>
        <v/>
      </c>
      <c r="AV18" s="50">
        <f>IF(COUNT(AO18:AU18)=7,SUM(AO18:AU18),"")</f>
        <v/>
      </c>
      <c r="AW18" s="50">
        <f>IF(ISNUMBER(AV18),--(H18&lt;&gt;I18)+--(J18&lt;&gt;K18)+--(L18&lt;&gt;M18)+--(O18&lt;&gt;P18)+--(S18&lt;&gt;T18),"")</f>
        <v/>
      </c>
      <c r="AX18" s="50">
        <f>IF(ISNUMBER(AV18),COUNT(N18,R18,U18),"")</f>
        <v/>
      </c>
      <c r="AY18" s="50">
        <f>IF(ISNUMBER(Y18),Y18,"")</f>
        <v/>
      </c>
      <c r="AZ18" s="50">
        <f>IF(AND(ISNUMBER(Z18),ISNUMBER(AA18)),MIN(Z18,AA18),"")</f>
        <v/>
      </c>
      <c r="BA18" s="50">
        <f>IF(AND(ISNUMBER(AB18),ISNUMBER(AC18)),MIN(AB18,AC18),"")</f>
        <v/>
      </c>
      <c r="BB18" s="50">
        <f>IF(AND(ISNUMBER(AD18),ISNUMBER(AE18)),IF(AF18=1,0,MIN(AD18,AE18)),"")</f>
        <v/>
      </c>
      <c r="BC18" s="50">
        <f>IF(AND(ISNUMBER(AG18),ISNUMBER(AH18)),MIN(AG18,AH18),"")</f>
        <v/>
      </c>
      <c r="BD18" s="50">
        <f>IF(ISNUMBER(AI18),IF(AJ18=1,0,AI18),"")</f>
        <v/>
      </c>
      <c r="BE18" s="50">
        <f>IF(AND(ISNUMBER(AK18),ISNUMBER(AL18)),IF(AM18=1,0,MIN(AK18,AL18)),"")</f>
        <v/>
      </c>
      <c r="BF18" s="50">
        <f>IF(COUNT(AY18:BE18)=7,SUM(AY18:BE18),"")</f>
        <v/>
      </c>
      <c r="BG18" s="50">
        <f>IF(ISNUMBER(BF18),--(Z18&lt;&gt;AA18)+--(AB18&lt;&gt;AC18)+--(AD18&lt;&gt;AE18)+--(AG18&lt;&gt;AH18)+--(AK18&lt;&gt;AL18),"")</f>
        <v/>
      </c>
      <c r="BH18" s="50">
        <f>IF(ISNUMBER(BF18),COUNT(AF18,AJ18,AM18),"")</f>
        <v/>
      </c>
      <c r="BI18" s="47">
        <f>IF(ISNUMBER(AV18),AV18,IF(ISNUMBER(V18),V18,""))</f>
        <v/>
      </c>
      <c r="BJ18" s="47">
        <f>IF(ISNUMBER(BF18),BF18,IF(ISNUMBER(AN18),AN18,""))</f>
        <v/>
      </c>
      <c r="BK18" s="47">
        <f>IF(AND(ISNUMBER(BI18),ISNUMBER(BJ18)),BJ18-BI18,"")</f>
        <v/>
      </c>
      <c r="BL18" s="42">
        <f>IF(ISNUMBER(AV18),"하위항목",IF(ISNUMBER(V18),"SPSS총점",""))</f>
        <v/>
      </c>
      <c r="BM18" s="42">
        <f>IF(ISNUMBER(BF18),"하위항목",IF(ISNUMBER(AN18),"SPSS총점",""))</f>
        <v/>
      </c>
      <c r="BN18" s="50">
        <f>IF($A18="","",IFERROR(IF(ISNUMBER(INDEX('FMS_평가자2'!$AP$4:$AP$33,MATCH($A18,'FMS_평가자2'!$A$4:$A$33,0))),INDEX('FMS_평가자2'!$AP$4:$AP$33,MATCH($A18,'FMS_평가자2'!$A$4:$A$33,0)),""),""))</f>
        <v/>
      </c>
      <c r="BO18" s="50">
        <f>IF($A18="","",IFERROR(IF(ISNUMBER(INDEX('FMS_평가자2'!$AY$4:$AY$33,MATCH($A18,'FMS_평가자2'!$A$4:$A$33,0))),INDEX('FMS_평가자2'!$AY$4:$AY$33,MATCH($A18,'FMS_평가자2'!$A$4:$A$33,0)),""),""))</f>
        <v/>
      </c>
      <c r="BP18" s="47">
        <f>IF(AND(ISNUMBER(AV18),ISNUMBER(BN18)),(AV18+BN18)/2,"")</f>
        <v/>
      </c>
      <c r="BQ18" s="47">
        <f>IF(AND(ISNUMBER(BF18),ISNUMBER(BO18)),(BF18+BO18)/2,"")</f>
        <v/>
      </c>
      <c r="BR18" s="47">
        <f>IF(AND(ISNUMBER(BP18),ISNUMBER(BQ18)),BQ18-BP18,"")</f>
        <v/>
      </c>
      <c r="BS18" s="51">
        <f>IF(A18="","",TRIM(IF(B18="ID없음","대상자_VO2max 시트에 없는 ID ","")&amp;IF(LEN(A18)&lt;&gt;LEN(TRIM(A18)),"ID 앞뒤 공백 ","")&amp;IF(COUNTIF($A$4:$A$33,A18)&gt;1,"ID 중복 ","")&amp;IF(AND(B18&lt;&gt;"ID없음",OR(B18="",AND(B18&lt;&gt;1,B18&lt;&gt;2))),"집단 코드 확인(대상자 시트) ","")&amp;IF(AND(B18&lt;&gt;"ID없음",OR(C18="",AND(C18&lt;&gt;0,C18&lt;&gt;1))),"분석포함 코드 확인 ","")&amp;IF(AND(COUNT(G18,H18,I18,J18,K18,L18,M18,O18,P18,Q18,S18,T18)&gt;0,COUNT(G18,H18,I18,J18,K18,L18,M18,O18,P18,Q18,S18,T18)&lt;12),"사전 동작점수 일부 빈칸 ","")&amp;IF(AND(COUNT(Y18,Z18,AA18,AB18,AC18,AD18,AE18,AG18,AH18,AI18,AK18,AL18)&gt;0,COUNT(Y18,Z18,AA18,AB18,AC18,AD18,AE18,AG18,AH18,AI18,AK18,AL18)&lt;12),"사후 동작점수 일부 빈칸 ","")&amp;IF(AND(V18&lt;&gt;"",NOT(ISNUMBER(V18))),"사전 SPSS총점 숫자 아님 ","")&amp;IF(AND(AN18&lt;&gt;"",NOT(ISNUMBER(AN18))),"사후 SPSS총점 숫자 아님 ","")&amp;IF(AND(ISNUMBER(AV18),ISNUMBER(V18)),IF(AV18&lt;&gt;V18,"사전: 계산총점≠SPSS총점 ",""),"")&amp;IF(ISNUMBER(BI18),IF(BI18&lt;&gt;INT(BI18),"사전 총점 정수 아님 ",""),"")&amp;IF(ISNUMBER(BI18),IF(OR(BI18&lt;0,BI18&gt;21),"사전 총점 범위(0–21) 밖 ",""),"")&amp;IF(AND(ISNUMBER(BF18),ISNUMBER(AN18)),IF(BF18&lt;&gt;AN18,"사후: 계산총점≠SPSS총점 ",""),"")&amp;IF(ISNUMBER(BJ18),IF(BJ18&lt;&gt;INT(BJ18),"사후 총점 정수 아님 ",""),"")&amp;IF(ISNUMBER(BJ18),IF(OR(BJ18&lt;0,BJ18&gt;21),"사후 총점 범위(0–21) 밖 ",""),"")&amp;IF(C18=1,IF(OR(NOT(ISNUMBER(BI18)),NOT(ISNUMBER(BJ18))),"분석포함인데 FMS 결측 ",""),"")))</f>
        <v/>
      </c>
    </row>
    <row r="19">
      <c r="A19" s="40" t="n"/>
      <c r="B19" s="50">
        <f>IF($A19="","",IFERROR(IF(INDEX('대상자_VO2max'!$B$4:$B$33,MATCH($A19,'대상자_VO2max'!$A$4:$A$33,0))="","",INDEX('대상자_VO2max'!$B$4:$B$33,MATCH($A19,'대상자_VO2max'!$A$4:$A$33,0))),"ID없음"))</f>
        <v/>
      </c>
      <c r="C19" s="50">
        <f>IF(ISNUMBER(D19),D19,IF($A19="","",IFERROR(IF(INDEX('대상자_VO2max'!$D$4:$D$33,MATCH($A19,'대상자_VO2max'!$A$4:$A$33,0))="","",INDEX('대상자_VO2max'!$D$4:$D$33,MATCH($A19,'대상자_VO2max'!$A$4:$A$33,0))),"ID없음")))</f>
        <v/>
      </c>
      <c r="D19" s="41" t="n"/>
      <c r="E19" s="40" t="n"/>
      <c r="F19" s="46" t="n"/>
      <c r="G19" s="41" t="n"/>
      <c r="H19" s="41" t="n"/>
      <c r="I19" s="41" t="n"/>
      <c r="J19" s="41" t="n"/>
      <c r="K19" s="41" t="n"/>
      <c r="L19" s="41" t="n"/>
      <c r="M19" s="41" t="n"/>
      <c r="N19" s="41" t="n"/>
      <c r="O19" s="41" t="n"/>
      <c r="P19" s="41" t="n"/>
      <c r="Q19" s="41" t="n"/>
      <c r="R19" s="41" t="n"/>
      <c r="S19" s="41" t="n"/>
      <c r="T19" s="41" t="n"/>
      <c r="U19" s="41" t="n"/>
      <c r="V19" s="45" t="n"/>
      <c r="W19" s="40" t="n"/>
      <c r="X19" s="46" t="n"/>
      <c r="Y19" s="41" t="n"/>
      <c r="Z19" s="41" t="n"/>
      <c r="AA19" s="41" t="n"/>
      <c r="AB19" s="41" t="n"/>
      <c r="AC19" s="41" t="n"/>
      <c r="AD19" s="41" t="n"/>
      <c r="AE19" s="41" t="n"/>
      <c r="AF19" s="41" t="n"/>
      <c r="AG19" s="41" t="n"/>
      <c r="AH19" s="41" t="n"/>
      <c r="AI19" s="41" t="n"/>
      <c r="AJ19" s="41" t="n"/>
      <c r="AK19" s="41" t="n"/>
      <c r="AL19" s="41" t="n"/>
      <c r="AM19" s="41" t="n"/>
      <c r="AN19" s="45" t="n"/>
      <c r="AO19" s="50">
        <f>IF(ISNUMBER(G19),G19,"")</f>
        <v/>
      </c>
      <c r="AP19" s="50">
        <f>IF(AND(ISNUMBER(H19),ISNUMBER(I19)),MIN(H19,I19),"")</f>
        <v/>
      </c>
      <c r="AQ19" s="50">
        <f>IF(AND(ISNUMBER(J19),ISNUMBER(K19)),MIN(J19,K19),"")</f>
        <v/>
      </c>
      <c r="AR19" s="50">
        <f>IF(AND(ISNUMBER(L19),ISNUMBER(M19)),IF(N19=1,0,MIN(L19,M19)),"")</f>
        <v/>
      </c>
      <c r="AS19" s="50">
        <f>IF(AND(ISNUMBER(O19),ISNUMBER(P19)),MIN(O19,P19),"")</f>
        <v/>
      </c>
      <c r="AT19" s="50">
        <f>IF(ISNUMBER(Q19),IF(R19=1,0,Q19),"")</f>
        <v/>
      </c>
      <c r="AU19" s="50">
        <f>IF(AND(ISNUMBER(S19),ISNUMBER(T19)),IF(U19=1,0,MIN(S19,T19)),"")</f>
        <v/>
      </c>
      <c r="AV19" s="50">
        <f>IF(COUNT(AO19:AU19)=7,SUM(AO19:AU19),"")</f>
        <v/>
      </c>
      <c r="AW19" s="50">
        <f>IF(ISNUMBER(AV19),--(H19&lt;&gt;I19)+--(J19&lt;&gt;K19)+--(L19&lt;&gt;M19)+--(O19&lt;&gt;P19)+--(S19&lt;&gt;T19),"")</f>
        <v/>
      </c>
      <c r="AX19" s="50">
        <f>IF(ISNUMBER(AV19),COUNT(N19,R19,U19),"")</f>
        <v/>
      </c>
      <c r="AY19" s="50">
        <f>IF(ISNUMBER(Y19),Y19,"")</f>
        <v/>
      </c>
      <c r="AZ19" s="50">
        <f>IF(AND(ISNUMBER(Z19),ISNUMBER(AA19)),MIN(Z19,AA19),"")</f>
        <v/>
      </c>
      <c r="BA19" s="50">
        <f>IF(AND(ISNUMBER(AB19),ISNUMBER(AC19)),MIN(AB19,AC19),"")</f>
        <v/>
      </c>
      <c r="BB19" s="50">
        <f>IF(AND(ISNUMBER(AD19),ISNUMBER(AE19)),IF(AF19=1,0,MIN(AD19,AE19)),"")</f>
        <v/>
      </c>
      <c r="BC19" s="50">
        <f>IF(AND(ISNUMBER(AG19),ISNUMBER(AH19)),MIN(AG19,AH19),"")</f>
        <v/>
      </c>
      <c r="BD19" s="50">
        <f>IF(ISNUMBER(AI19),IF(AJ19=1,0,AI19),"")</f>
        <v/>
      </c>
      <c r="BE19" s="50">
        <f>IF(AND(ISNUMBER(AK19),ISNUMBER(AL19)),IF(AM19=1,0,MIN(AK19,AL19)),"")</f>
        <v/>
      </c>
      <c r="BF19" s="50">
        <f>IF(COUNT(AY19:BE19)=7,SUM(AY19:BE19),"")</f>
        <v/>
      </c>
      <c r="BG19" s="50">
        <f>IF(ISNUMBER(BF19),--(Z19&lt;&gt;AA19)+--(AB19&lt;&gt;AC19)+--(AD19&lt;&gt;AE19)+--(AG19&lt;&gt;AH19)+--(AK19&lt;&gt;AL19),"")</f>
        <v/>
      </c>
      <c r="BH19" s="50">
        <f>IF(ISNUMBER(BF19),COUNT(AF19,AJ19,AM19),"")</f>
        <v/>
      </c>
      <c r="BI19" s="47">
        <f>IF(ISNUMBER(AV19),AV19,IF(ISNUMBER(V19),V19,""))</f>
        <v/>
      </c>
      <c r="BJ19" s="47">
        <f>IF(ISNUMBER(BF19),BF19,IF(ISNUMBER(AN19),AN19,""))</f>
        <v/>
      </c>
      <c r="BK19" s="47">
        <f>IF(AND(ISNUMBER(BI19),ISNUMBER(BJ19)),BJ19-BI19,"")</f>
        <v/>
      </c>
      <c r="BL19" s="42">
        <f>IF(ISNUMBER(AV19),"하위항목",IF(ISNUMBER(V19),"SPSS총점",""))</f>
        <v/>
      </c>
      <c r="BM19" s="42">
        <f>IF(ISNUMBER(BF19),"하위항목",IF(ISNUMBER(AN19),"SPSS총점",""))</f>
        <v/>
      </c>
      <c r="BN19" s="50">
        <f>IF($A19="","",IFERROR(IF(ISNUMBER(INDEX('FMS_평가자2'!$AP$4:$AP$33,MATCH($A19,'FMS_평가자2'!$A$4:$A$33,0))),INDEX('FMS_평가자2'!$AP$4:$AP$33,MATCH($A19,'FMS_평가자2'!$A$4:$A$33,0)),""),""))</f>
        <v/>
      </c>
      <c r="BO19" s="50">
        <f>IF($A19="","",IFERROR(IF(ISNUMBER(INDEX('FMS_평가자2'!$AY$4:$AY$33,MATCH($A19,'FMS_평가자2'!$A$4:$A$33,0))),INDEX('FMS_평가자2'!$AY$4:$AY$33,MATCH($A19,'FMS_평가자2'!$A$4:$A$33,0)),""),""))</f>
        <v/>
      </c>
      <c r="BP19" s="47">
        <f>IF(AND(ISNUMBER(AV19),ISNUMBER(BN19)),(AV19+BN19)/2,"")</f>
        <v/>
      </c>
      <c r="BQ19" s="47">
        <f>IF(AND(ISNUMBER(BF19),ISNUMBER(BO19)),(BF19+BO19)/2,"")</f>
        <v/>
      </c>
      <c r="BR19" s="47">
        <f>IF(AND(ISNUMBER(BP19),ISNUMBER(BQ19)),BQ19-BP19,"")</f>
        <v/>
      </c>
      <c r="BS19" s="51">
        <f>IF(A19="","",TRIM(IF(B19="ID없음","대상자_VO2max 시트에 없는 ID ","")&amp;IF(LEN(A19)&lt;&gt;LEN(TRIM(A19)),"ID 앞뒤 공백 ","")&amp;IF(COUNTIF($A$4:$A$33,A19)&gt;1,"ID 중복 ","")&amp;IF(AND(B19&lt;&gt;"ID없음",OR(B19="",AND(B19&lt;&gt;1,B19&lt;&gt;2))),"집단 코드 확인(대상자 시트) ","")&amp;IF(AND(B19&lt;&gt;"ID없음",OR(C19="",AND(C19&lt;&gt;0,C19&lt;&gt;1))),"분석포함 코드 확인 ","")&amp;IF(AND(COUNT(G19,H19,I19,J19,K19,L19,M19,O19,P19,Q19,S19,T19)&gt;0,COUNT(G19,H19,I19,J19,K19,L19,M19,O19,P19,Q19,S19,T19)&lt;12),"사전 동작점수 일부 빈칸 ","")&amp;IF(AND(COUNT(Y19,Z19,AA19,AB19,AC19,AD19,AE19,AG19,AH19,AI19,AK19,AL19)&gt;0,COUNT(Y19,Z19,AA19,AB19,AC19,AD19,AE19,AG19,AH19,AI19,AK19,AL19)&lt;12),"사후 동작점수 일부 빈칸 ","")&amp;IF(AND(V19&lt;&gt;"",NOT(ISNUMBER(V19))),"사전 SPSS총점 숫자 아님 ","")&amp;IF(AND(AN19&lt;&gt;"",NOT(ISNUMBER(AN19))),"사후 SPSS총점 숫자 아님 ","")&amp;IF(AND(ISNUMBER(AV19),ISNUMBER(V19)),IF(AV19&lt;&gt;V19,"사전: 계산총점≠SPSS총점 ",""),"")&amp;IF(ISNUMBER(BI19),IF(BI19&lt;&gt;INT(BI19),"사전 총점 정수 아님 ",""),"")&amp;IF(ISNUMBER(BI19),IF(OR(BI19&lt;0,BI19&gt;21),"사전 총점 범위(0–21) 밖 ",""),"")&amp;IF(AND(ISNUMBER(BF19),ISNUMBER(AN19)),IF(BF19&lt;&gt;AN19,"사후: 계산총점≠SPSS총점 ",""),"")&amp;IF(ISNUMBER(BJ19),IF(BJ19&lt;&gt;INT(BJ19),"사후 총점 정수 아님 ",""),"")&amp;IF(ISNUMBER(BJ19),IF(OR(BJ19&lt;0,BJ19&gt;21),"사후 총점 범위(0–21) 밖 ",""),"")&amp;IF(C19=1,IF(OR(NOT(ISNUMBER(BI19)),NOT(ISNUMBER(BJ19))),"분석포함인데 FMS 결측 ",""),"")))</f>
        <v/>
      </c>
    </row>
    <row r="20">
      <c r="A20" s="40" t="n"/>
      <c r="B20" s="50">
        <f>IF($A20="","",IFERROR(IF(INDEX('대상자_VO2max'!$B$4:$B$33,MATCH($A20,'대상자_VO2max'!$A$4:$A$33,0))="","",INDEX('대상자_VO2max'!$B$4:$B$33,MATCH($A20,'대상자_VO2max'!$A$4:$A$33,0))),"ID없음"))</f>
        <v/>
      </c>
      <c r="C20" s="50">
        <f>IF(ISNUMBER(D20),D20,IF($A20="","",IFERROR(IF(INDEX('대상자_VO2max'!$D$4:$D$33,MATCH($A20,'대상자_VO2max'!$A$4:$A$33,0))="","",INDEX('대상자_VO2max'!$D$4:$D$33,MATCH($A20,'대상자_VO2max'!$A$4:$A$33,0))),"ID없음")))</f>
        <v/>
      </c>
      <c r="D20" s="41" t="n"/>
      <c r="E20" s="40" t="n"/>
      <c r="F20" s="46" t="n"/>
      <c r="G20" s="41" t="n"/>
      <c r="H20" s="41" t="n"/>
      <c r="I20" s="41" t="n"/>
      <c r="J20" s="41" t="n"/>
      <c r="K20" s="41" t="n"/>
      <c r="L20" s="41" t="n"/>
      <c r="M20" s="41" t="n"/>
      <c r="N20" s="41" t="n"/>
      <c r="O20" s="41" t="n"/>
      <c r="P20" s="41" t="n"/>
      <c r="Q20" s="41" t="n"/>
      <c r="R20" s="41" t="n"/>
      <c r="S20" s="41" t="n"/>
      <c r="T20" s="41" t="n"/>
      <c r="U20" s="41" t="n"/>
      <c r="V20" s="45" t="n"/>
      <c r="W20" s="40" t="n"/>
      <c r="X20" s="46" t="n"/>
      <c r="Y20" s="41" t="n"/>
      <c r="Z20" s="41" t="n"/>
      <c r="AA20" s="41" t="n"/>
      <c r="AB20" s="41" t="n"/>
      <c r="AC20" s="41" t="n"/>
      <c r="AD20" s="41" t="n"/>
      <c r="AE20" s="41" t="n"/>
      <c r="AF20" s="41" t="n"/>
      <c r="AG20" s="41" t="n"/>
      <c r="AH20" s="41" t="n"/>
      <c r="AI20" s="41" t="n"/>
      <c r="AJ20" s="41" t="n"/>
      <c r="AK20" s="41" t="n"/>
      <c r="AL20" s="41" t="n"/>
      <c r="AM20" s="41" t="n"/>
      <c r="AN20" s="45" t="n"/>
      <c r="AO20" s="50">
        <f>IF(ISNUMBER(G20),G20,"")</f>
        <v/>
      </c>
      <c r="AP20" s="50">
        <f>IF(AND(ISNUMBER(H20),ISNUMBER(I20)),MIN(H20,I20),"")</f>
        <v/>
      </c>
      <c r="AQ20" s="50">
        <f>IF(AND(ISNUMBER(J20),ISNUMBER(K20)),MIN(J20,K20),"")</f>
        <v/>
      </c>
      <c r="AR20" s="50">
        <f>IF(AND(ISNUMBER(L20),ISNUMBER(M20)),IF(N20=1,0,MIN(L20,M20)),"")</f>
        <v/>
      </c>
      <c r="AS20" s="50">
        <f>IF(AND(ISNUMBER(O20),ISNUMBER(P20)),MIN(O20,P20),"")</f>
        <v/>
      </c>
      <c r="AT20" s="50">
        <f>IF(ISNUMBER(Q20),IF(R20=1,0,Q20),"")</f>
        <v/>
      </c>
      <c r="AU20" s="50">
        <f>IF(AND(ISNUMBER(S20),ISNUMBER(T20)),IF(U20=1,0,MIN(S20,T20)),"")</f>
        <v/>
      </c>
      <c r="AV20" s="50">
        <f>IF(COUNT(AO20:AU20)=7,SUM(AO20:AU20),"")</f>
        <v/>
      </c>
      <c r="AW20" s="50">
        <f>IF(ISNUMBER(AV20),--(H20&lt;&gt;I20)+--(J20&lt;&gt;K20)+--(L20&lt;&gt;M20)+--(O20&lt;&gt;P20)+--(S20&lt;&gt;T20),"")</f>
        <v/>
      </c>
      <c r="AX20" s="50">
        <f>IF(ISNUMBER(AV20),COUNT(N20,R20,U20),"")</f>
        <v/>
      </c>
      <c r="AY20" s="50">
        <f>IF(ISNUMBER(Y20),Y20,"")</f>
        <v/>
      </c>
      <c r="AZ20" s="50">
        <f>IF(AND(ISNUMBER(Z20),ISNUMBER(AA20)),MIN(Z20,AA20),"")</f>
        <v/>
      </c>
      <c r="BA20" s="50">
        <f>IF(AND(ISNUMBER(AB20),ISNUMBER(AC20)),MIN(AB20,AC20),"")</f>
        <v/>
      </c>
      <c r="BB20" s="50">
        <f>IF(AND(ISNUMBER(AD20),ISNUMBER(AE20)),IF(AF20=1,0,MIN(AD20,AE20)),"")</f>
        <v/>
      </c>
      <c r="BC20" s="50">
        <f>IF(AND(ISNUMBER(AG20),ISNUMBER(AH20)),MIN(AG20,AH20),"")</f>
        <v/>
      </c>
      <c r="BD20" s="50">
        <f>IF(ISNUMBER(AI20),IF(AJ20=1,0,AI20),"")</f>
        <v/>
      </c>
      <c r="BE20" s="50">
        <f>IF(AND(ISNUMBER(AK20),ISNUMBER(AL20)),IF(AM20=1,0,MIN(AK20,AL20)),"")</f>
        <v/>
      </c>
      <c r="BF20" s="50">
        <f>IF(COUNT(AY20:BE20)=7,SUM(AY20:BE20),"")</f>
        <v/>
      </c>
      <c r="BG20" s="50">
        <f>IF(ISNUMBER(BF20),--(Z20&lt;&gt;AA20)+--(AB20&lt;&gt;AC20)+--(AD20&lt;&gt;AE20)+--(AG20&lt;&gt;AH20)+--(AK20&lt;&gt;AL20),"")</f>
        <v/>
      </c>
      <c r="BH20" s="50">
        <f>IF(ISNUMBER(BF20),COUNT(AF20,AJ20,AM20),"")</f>
        <v/>
      </c>
      <c r="BI20" s="47">
        <f>IF(ISNUMBER(AV20),AV20,IF(ISNUMBER(V20),V20,""))</f>
        <v/>
      </c>
      <c r="BJ20" s="47">
        <f>IF(ISNUMBER(BF20),BF20,IF(ISNUMBER(AN20),AN20,""))</f>
        <v/>
      </c>
      <c r="BK20" s="47">
        <f>IF(AND(ISNUMBER(BI20),ISNUMBER(BJ20)),BJ20-BI20,"")</f>
        <v/>
      </c>
      <c r="BL20" s="42">
        <f>IF(ISNUMBER(AV20),"하위항목",IF(ISNUMBER(V20),"SPSS총점",""))</f>
        <v/>
      </c>
      <c r="BM20" s="42">
        <f>IF(ISNUMBER(BF20),"하위항목",IF(ISNUMBER(AN20),"SPSS총점",""))</f>
        <v/>
      </c>
      <c r="BN20" s="50">
        <f>IF($A20="","",IFERROR(IF(ISNUMBER(INDEX('FMS_평가자2'!$AP$4:$AP$33,MATCH($A20,'FMS_평가자2'!$A$4:$A$33,0))),INDEX('FMS_평가자2'!$AP$4:$AP$33,MATCH($A20,'FMS_평가자2'!$A$4:$A$33,0)),""),""))</f>
        <v/>
      </c>
      <c r="BO20" s="50">
        <f>IF($A20="","",IFERROR(IF(ISNUMBER(INDEX('FMS_평가자2'!$AY$4:$AY$33,MATCH($A20,'FMS_평가자2'!$A$4:$A$33,0))),INDEX('FMS_평가자2'!$AY$4:$AY$33,MATCH($A20,'FMS_평가자2'!$A$4:$A$33,0)),""),""))</f>
        <v/>
      </c>
      <c r="BP20" s="47">
        <f>IF(AND(ISNUMBER(AV20),ISNUMBER(BN20)),(AV20+BN20)/2,"")</f>
        <v/>
      </c>
      <c r="BQ20" s="47">
        <f>IF(AND(ISNUMBER(BF20),ISNUMBER(BO20)),(BF20+BO20)/2,"")</f>
        <v/>
      </c>
      <c r="BR20" s="47">
        <f>IF(AND(ISNUMBER(BP20),ISNUMBER(BQ20)),BQ20-BP20,"")</f>
        <v/>
      </c>
      <c r="BS20" s="51">
        <f>IF(A20="","",TRIM(IF(B20="ID없음","대상자_VO2max 시트에 없는 ID ","")&amp;IF(LEN(A20)&lt;&gt;LEN(TRIM(A20)),"ID 앞뒤 공백 ","")&amp;IF(COUNTIF($A$4:$A$33,A20)&gt;1,"ID 중복 ","")&amp;IF(AND(B20&lt;&gt;"ID없음",OR(B20="",AND(B20&lt;&gt;1,B20&lt;&gt;2))),"집단 코드 확인(대상자 시트) ","")&amp;IF(AND(B20&lt;&gt;"ID없음",OR(C20="",AND(C20&lt;&gt;0,C20&lt;&gt;1))),"분석포함 코드 확인 ","")&amp;IF(AND(COUNT(G20,H20,I20,J20,K20,L20,M20,O20,P20,Q20,S20,T20)&gt;0,COUNT(G20,H20,I20,J20,K20,L20,M20,O20,P20,Q20,S20,T20)&lt;12),"사전 동작점수 일부 빈칸 ","")&amp;IF(AND(COUNT(Y20,Z20,AA20,AB20,AC20,AD20,AE20,AG20,AH20,AI20,AK20,AL20)&gt;0,COUNT(Y20,Z20,AA20,AB20,AC20,AD20,AE20,AG20,AH20,AI20,AK20,AL20)&lt;12),"사후 동작점수 일부 빈칸 ","")&amp;IF(AND(V20&lt;&gt;"",NOT(ISNUMBER(V20))),"사전 SPSS총점 숫자 아님 ","")&amp;IF(AND(AN20&lt;&gt;"",NOT(ISNUMBER(AN20))),"사후 SPSS총점 숫자 아님 ","")&amp;IF(AND(ISNUMBER(AV20),ISNUMBER(V20)),IF(AV20&lt;&gt;V20,"사전: 계산총점≠SPSS총점 ",""),"")&amp;IF(ISNUMBER(BI20),IF(BI20&lt;&gt;INT(BI20),"사전 총점 정수 아님 ",""),"")&amp;IF(ISNUMBER(BI20),IF(OR(BI20&lt;0,BI20&gt;21),"사전 총점 범위(0–21) 밖 ",""),"")&amp;IF(AND(ISNUMBER(BF20),ISNUMBER(AN20)),IF(BF20&lt;&gt;AN20,"사후: 계산총점≠SPSS총점 ",""),"")&amp;IF(ISNUMBER(BJ20),IF(BJ20&lt;&gt;INT(BJ20),"사후 총점 정수 아님 ",""),"")&amp;IF(ISNUMBER(BJ20),IF(OR(BJ20&lt;0,BJ20&gt;21),"사후 총점 범위(0–21) 밖 ",""),"")&amp;IF(C20=1,IF(OR(NOT(ISNUMBER(BI20)),NOT(ISNUMBER(BJ20))),"분석포함인데 FMS 결측 ",""),"")))</f>
        <v/>
      </c>
    </row>
    <row r="21">
      <c r="A21" s="40" t="n"/>
      <c r="B21" s="50">
        <f>IF($A21="","",IFERROR(IF(INDEX('대상자_VO2max'!$B$4:$B$33,MATCH($A21,'대상자_VO2max'!$A$4:$A$33,0))="","",INDEX('대상자_VO2max'!$B$4:$B$33,MATCH($A21,'대상자_VO2max'!$A$4:$A$33,0))),"ID없음"))</f>
        <v/>
      </c>
      <c r="C21" s="50">
        <f>IF(ISNUMBER(D21),D21,IF($A21="","",IFERROR(IF(INDEX('대상자_VO2max'!$D$4:$D$33,MATCH($A21,'대상자_VO2max'!$A$4:$A$33,0))="","",INDEX('대상자_VO2max'!$D$4:$D$33,MATCH($A21,'대상자_VO2max'!$A$4:$A$33,0))),"ID없음")))</f>
        <v/>
      </c>
      <c r="D21" s="41" t="n"/>
      <c r="E21" s="40" t="n"/>
      <c r="F21" s="46" t="n"/>
      <c r="G21" s="41" t="n"/>
      <c r="H21" s="41" t="n"/>
      <c r="I21" s="41" t="n"/>
      <c r="J21" s="41" t="n"/>
      <c r="K21" s="41" t="n"/>
      <c r="L21" s="41" t="n"/>
      <c r="M21" s="41" t="n"/>
      <c r="N21" s="41" t="n"/>
      <c r="O21" s="41" t="n"/>
      <c r="P21" s="41" t="n"/>
      <c r="Q21" s="41" t="n"/>
      <c r="R21" s="41" t="n"/>
      <c r="S21" s="41" t="n"/>
      <c r="T21" s="41" t="n"/>
      <c r="U21" s="41" t="n"/>
      <c r="V21" s="45" t="n"/>
      <c r="W21" s="40" t="n"/>
      <c r="X21" s="46" t="n"/>
      <c r="Y21" s="41" t="n"/>
      <c r="Z21" s="41" t="n"/>
      <c r="AA21" s="41" t="n"/>
      <c r="AB21" s="41" t="n"/>
      <c r="AC21" s="41" t="n"/>
      <c r="AD21" s="41" t="n"/>
      <c r="AE21" s="41" t="n"/>
      <c r="AF21" s="41" t="n"/>
      <c r="AG21" s="41" t="n"/>
      <c r="AH21" s="41" t="n"/>
      <c r="AI21" s="41" t="n"/>
      <c r="AJ21" s="41" t="n"/>
      <c r="AK21" s="41" t="n"/>
      <c r="AL21" s="41" t="n"/>
      <c r="AM21" s="41" t="n"/>
      <c r="AN21" s="45" t="n"/>
      <c r="AO21" s="50">
        <f>IF(ISNUMBER(G21),G21,"")</f>
        <v/>
      </c>
      <c r="AP21" s="50">
        <f>IF(AND(ISNUMBER(H21),ISNUMBER(I21)),MIN(H21,I21),"")</f>
        <v/>
      </c>
      <c r="AQ21" s="50">
        <f>IF(AND(ISNUMBER(J21),ISNUMBER(K21)),MIN(J21,K21),"")</f>
        <v/>
      </c>
      <c r="AR21" s="50">
        <f>IF(AND(ISNUMBER(L21),ISNUMBER(M21)),IF(N21=1,0,MIN(L21,M21)),"")</f>
        <v/>
      </c>
      <c r="AS21" s="50">
        <f>IF(AND(ISNUMBER(O21),ISNUMBER(P21)),MIN(O21,P21),"")</f>
        <v/>
      </c>
      <c r="AT21" s="50">
        <f>IF(ISNUMBER(Q21),IF(R21=1,0,Q21),"")</f>
        <v/>
      </c>
      <c r="AU21" s="50">
        <f>IF(AND(ISNUMBER(S21),ISNUMBER(T21)),IF(U21=1,0,MIN(S21,T21)),"")</f>
        <v/>
      </c>
      <c r="AV21" s="50">
        <f>IF(COUNT(AO21:AU21)=7,SUM(AO21:AU21),"")</f>
        <v/>
      </c>
      <c r="AW21" s="50">
        <f>IF(ISNUMBER(AV21),--(H21&lt;&gt;I21)+--(J21&lt;&gt;K21)+--(L21&lt;&gt;M21)+--(O21&lt;&gt;P21)+--(S21&lt;&gt;T21),"")</f>
        <v/>
      </c>
      <c r="AX21" s="50">
        <f>IF(ISNUMBER(AV21),COUNT(N21,R21,U21),"")</f>
        <v/>
      </c>
      <c r="AY21" s="50">
        <f>IF(ISNUMBER(Y21),Y21,"")</f>
        <v/>
      </c>
      <c r="AZ21" s="50">
        <f>IF(AND(ISNUMBER(Z21),ISNUMBER(AA21)),MIN(Z21,AA21),"")</f>
        <v/>
      </c>
      <c r="BA21" s="50">
        <f>IF(AND(ISNUMBER(AB21),ISNUMBER(AC21)),MIN(AB21,AC21),"")</f>
        <v/>
      </c>
      <c r="BB21" s="50">
        <f>IF(AND(ISNUMBER(AD21),ISNUMBER(AE21)),IF(AF21=1,0,MIN(AD21,AE21)),"")</f>
        <v/>
      </c>
      <c r="BC21" s="50">
        <f>IF(AND(ISNUMBER(AG21),ISNUMBER(AH21)),MIN(AG21,AH21),"")</f>
        <v/>
      </c>
      <c r="BD21" s="50">
        <f>IF(ISNUMBER(AI21),IF(AJ21=1,0,AI21),"")</f>
        <v/>
      </c>
      <c r="BE21" s="50">
        <f>IF(AND(ISNUMBER(AK21),ISNUMBER(AL21)),IF(AM21=1,0,MIN(AK21,AL21)),"")</f>
        <v/>
      </c>
      <c r="BF21" s="50">
        <f>IF(COUNT(AY21:BE21)=7,SUM(AY21:BE21),"")</f>
        <v/>
      </c>
      <c r="BG21" s="50">
        <f>IF(ISNUMBER(BF21),--(Z21&lt;&gt;AA21)+--(AB21&lt;&gt;AC21)+--(AD21&lt;&gt;AE21)+--(AG21&lt;&gt;AH21)+--(AK21&lt;&gt;AL21),"")</f>
        <v/>
      </c>
      <c r="BH21" s="50">
        <f>IF(ISNUMBER(BF21),COUNT(AF21,AJ21,AM21),"")</f>
        <v/>
      </c>
      <c r="BI21" s="47">
        <f>IF(ISNUMBER(AV21),AV21,IF(ISNUMBER(V21),V21,""))</f>
        <v/>
      </c>
      <c r="BJ21" s="47">
        <f>IF(ISNUMBER(BF21),BF21,IF(ISNUMBER(AN21),AN21,""))</f>
        <v/>
      </c>
      <c r="BK21" s="47">
        <f>IF(AND(ISNUMBER(BI21),ISNUMBER(BJ21)),BJ21-BI21,"")</f>
        <v/>
      </c>
      <c r="BL21" s="42">
        <f>IF(ISNUMBER(AV21),"하위항목",IF(ISNUMBER(V21),"SPSS총점",""))</f>
        <v/>
      </c>
      <c r="BM21" s="42">
        <f>IF(ISNUMBER(BF21),"하위항목",IF(ISNUMBER(AN21),"SPSS총점",""))</f>
        <v/>
      </c>
      <c r="BN21" s="50">
        <f>IF($A21="","",IFERROR(IF(ISNUMBER(INDEX('FMS_평가자2'!$AP$4:$AP$33,MATCH($A21,'FMS_평가자2'!$A$4:$A$33,0))),INDEX('FMS_평가자2'!$AP$4:$AP$33,MATCH($A21,'FMS_평가자2'!$A$4:$A$33,0)),""),""))</f>
        <v/>
      </c>
      <c r="BO21" s="50">
        <f>IF($A21="","",IFERROR(IF(ISNUMBER(INDEX('FMS_평가자2'!$AY$4:$AY$33,MATCH($A21,'FMS_평가자2'!$A$4:$A$33,0))),INDEX('FMS_평가자2'!$AY$4:$AY$33,MATCH($A21,'FMS_평가자2'!$A$4:$A$33,0)),""),""))</f>
        <v/>
      </c>
      <c r="BP21" s="47">
        <f>IF(AND(ISNUMBER(AV21),ISNUMBER(BN21)),(AV21+BN21)/2,"")</f>
        <v/>
      </c>
      <c r="BQ21" s="47">
        <f>IF(AND(ISNUMBER(BF21),ISNUMBER(BO21)),(BF21+BO21)/2,"")</f>
        <v/>
      </c>
      <c r="BR21" s="47">
        <f>IF(AND(ISNUMBER(BP21),ISNUMBER(BQ21)),BQ21-BP21,"")</f>
        <v/>
      </c>
      <c r="BS21" s="51">
        <f>IF(A21="","",TRIM(IF(B21="ID없음","대상자_VO2max 시트에 없는 ID ","")&amp;IF(LEN(A21)&lt;&gt;LEN(TRIM(A21)),"ID 앞뒤 공백 ","")&amp;IF(COUNTIF($A$4:$A$33,A21)&gt;1,"ID 중복 ","")&amp;IF(AND(B21&lt;&gt;"ID없음",OR(B21="",AND(B21&lt;&gt;1,B21&lt;&gt;2))),"집단 코드 확인(대상자 시트) ","")&amp;IF(AND(B21&lt;&gt;"ID없음",OR(C21="",AND(C21&lt;&gt;0,C21&lt;&gt;1))),"분석포함 코드 확인 ","")&amp;IF(AND(COUNT(G21,H21,I21,J21,K21,L21,M21,O21,P21,Q21,S21,T21)&gt;0,COUNT(G21,H21,I21,J21,K21,L21,M21,O21,P21,Q21,S21,T21)&lt;12),"사전 동작점수 일부 빈칸 ","")&amp;IF(AND(COUNT(Y21,Z21,AA21,AB21,AC21,AD21,AE21,AG21,AH21,AI21,AK21,AL21)&gt;0,COUNT(Y21,Z21,AA21,AB21,AC21,AD21,AE21,AG21,AH21,AI21,AK21,AL21)&lt;12),"사후 동작점수 일부 빈칸 ","")&amp;IF(AND(V21&lt;&gt;"",NOT(ISNUMBER(V21))),"사전 SPSS총점 숫자 아님 ","")&amp;IF(AND(AN21&lt;&gt;"",NOT(ISNUMBER(AN21))),"사후 SPSS총점 숫자 아님 ","")&amp;IF(AND(ISNUMBER(AV21),ISNUMBER(V21)),IF(AV21&lt;&gt;V21,"사전: 계산총점≠SPSS총점 ",""),"")&amp;IF(ISNUMBER(BI21),IF(BI21&lt;&gt;INT(BI21),"사전 총점 정수 아님 ",""),"")&amp;IF(ISNUMBER(BI21),IF(OR(BI21&lt;0,BI21&gt;21),"사전 총점 범위(0–21) 밖 ",""),"")&amp;IF(AND(ISNUMBER(BF21),ISNUMBER(AN21)),IF(BF21&lt;&gt;AN21,"사후: 계산총점≠SPSS총점 ",""),"")&amp;IF(ISNUMBER(BJ21),IF(BJ21&lt;&gt;INT(BJ21),"사후 총점 정수 아님 ",""),"")&amp;IF(ISNUMBER(BJ21),IF(OR(BJ21&lt;0,BJ21&gt;21),"사후 총점 범위(0–21) 밖 ",""),"")&amp;IF(C21=1,IF(OR(NOT(ISNUMBER(BI21)),NOT(ISNUMBER(BJ21))),"분석포함인데 FMS 결측 ",""),"")))</f>
        <v/>
      </c>
    </row>
    <row r="22">
      <c r="A22" s="40" t="n"/>
      <c r="B22" s="50">
        <f>IF($A22="","",IFERROR(IF(INDEX('대상자_VO2max'!$B$4:$B$33,MATCH($A22,'대상자_VO2max'!$A$4:$A$33,0))="","",INDEX('대상자_VO2max'!$B$4:$B$33,MATCH($A22,'대상자_VO2max'!$A$4:$A$33,0))),"ID없음"))</f>
        <v/>
      </c>
      <c r="C22" s="50">
        <f>IF(ISNUMBER(D22),D22,IF($A22="","",IFERROR(IF(INDEX('대상자_VO2max'!$D$4:$D$33,MATCH($A22,'대상자_VO2max'!$A$4:$A$33,0))="","",INDEX('대상자_VO2max'!$D$4:$D$33,MATCH($A22,'대상자_VO2max'!$A$4:$A$33,0))),"ID없음")))</f>
        <v/>
      </c>
      <c r="D22" s="41" t="n"/>
      <c r="E22" s="40" t="n"/>
      <c r="F22" s="46" t="n"/>
      <c r="G22" s="41" t="n"/>
      <c r="H22" s="41" t="n"/>
      <c r="I22" s="41" t="n"/>
      <c r="J22" s="41" t="n"/>
      <c r="K22" s="41" t="n"/>
      <c r="L22" s="41" t="n"/>
      <c r="M22" s="41" t="n"/>
      <c r="N22" s="41" t="n"/>
      <c r="O22" s="41" t="n"/>
      <c r="P22" s="41" t="n"/>
      <c r="Q22" s="41" t="n"/>
      <c r="R22" s="41" t="n"/>
      <c r="S22" s="41" t="n"/>
      <c r="T22" s="41" t="n"/>
      <c r="U22" s="41" t="n"/>
      <c r="V22" s="45" t="n"/>
      <c r="W22" s="40" t="n"/>
      <c r="X22" s="46" t="n"/>
      <c r="Y22" s="41" t="n"/>
      <c r="Z22" s="41" t="n"/>
      <c r="AA22" s="41" t="n"/>
      <c r="AB22" s="41" t="n"/>
      <c r="AC22" s="41" t="n"/>
      <c r="AD22" s="41" t="n"/>
      <c r="AE22" s="41" t="n"/>
      <c r="AF22" s="41" t="n"/>
      <c r="AG22" s="41" t="n"/>
      <c r="AH22" s="41" t="n"/>
      <c r="AI22" s="41" t="n"/>
      <c r="AJ22" s="41" t="n"/>
      <c r="AK22" s="41" t="n"/>
      <c r="AL22" s="41" t="n"/>
      <c r="AM22" s="41" t="n"/>
      <c r="AN22" s="45" t="n"/>
      <c r="AO22" s="50">
        <f>IF(ISNUMBER(G22),G22,"")</f>
        <v/>
      </c>
      <c r="AP22" s="50">
        <f>IF(AND(ISNUMBER(H22),ISNUMBER(I22)),MIN(H22,I22),"")</f>
        <v/>
      </c>
      <c r="AQ22" s="50">
        <f>IF(AND(ISNUMBER(J22),ISNUMBER(K22)),MIN(J22,K22),"")</f>
        <v/>
      </c>
      <c r="AR22" s="50">
        <f>IF(AND(ISNUMBER(L22),ISNUMBER(M22)),IF(N22=1,0,MIN(L22,M22)),"")</f>
        <v/>
      </c>
      <c r="AS22" s="50">
        <f>IF(AND(ISNUMBER(O22),ISNUMBER(P22)),MIN(O22,P22),"")</f>
        <v/>
      </c>
      <c r="AT22" s="50">
        <f>IF(ISNUMBER(Q22),IF(R22=1,0,Q22),"")</f>
        <v/>
      </c>
      <c r="AU22" s="50">
        <f>IF(AND(ISNUMBER(S22),ISNUMBER(T22)),IF(U22=1,0,MIN(S22,T22)),"")</f>
        <v/>
      </c>
      <c r="AV22" s="50">
        <f>IF(COUNT(AO22:AU22)=7,SUM(AO22:AU22),"")</f>
        <v/>
      </c>
      <c r="AW22" s="50">
        <f>IF(ISNUMBER(AV22),--(H22&lt;&gt;I22)+--(J22&lt;&gt;K22)+--(L22&lt;&gt;M22)+--(O22&lt;&gt;P22)+--(S22&lt;&gt;T22),"")</f>
        <v/>
      </c>
      <c r="AX22" s="50">
        <f>IF(ISNUMBER(AV22),COUNT(N22,R22,U22),"")</f>
        <v/>
      </c>
      <c r="AY22" s="50">
        <f>IF(ISNUMBER(Y22),Y22,"")</f>
        <v/>
      </c>
      <c r="AZ22" s="50">
        <f>IF(AND(ISNUMBER(Z22),ISNUMBER(AA22)),MIN(Z22,AA22),"")</f>
        <v/>
      </c>
      <c r="BA22" s="50">
        <f>IF(AND(ISNUMBER(AB22),ISNUMBER(AC22)),MIN(AB22,AC22),"")</f>
        <v/>
      </c>
      <c r="BB22" s="50">
        <f>IF(AND(ISNUMBER(AD22),ISNUMBER(AE22)),IF(AF22=1,0,MIN(AD22,AE22)),"")</f>
        <v/>
      </c>
      <c r="BC22" s="50">
        <f>IF(AND(ISNUMBER(AG22),ISNUMBER(AH22)),MIN(AG22,AH22),"")</f>
        <v/>
      </c>
      <c r="BD22" s="50">
        <f>IF(ISNUMBER(AI22),IF(AJ22=1,0,AI22),"")</f>
        <v/>
      </c>
      <c r="BE22" s="50">
        <f>IF(AND(ISNUMBER(AK22),ISNUMBER(AL22)),IF(AM22=1,0,MIN(AK22,AL22)),"")</f>
        <v/>
      </c>
      <c r="BF22" s="50">
        <f>IF(COUNT(AY22:BE22)=7,SUM(AY22:BE22),"")</f>
        <v/>
      </c>
      <c r="BG22" s="50">
        <f>IF(ISNUMBER(BF22),--(Z22&lt;&gt;AA22)+--(AB22&lt;&gt;AC22)+--(AD22&lt;&gt;AE22)+--(AG22&lt;&gt;AH22)+--(AK22&lt;&gt;AL22),"")</f>
        <v/>
      </c>
      <c r="BH22" s="50">
        <f>IF(ISNUMBER(BF22),COUNT(AF22,AJ22,AM22),"")</f>
        <v/>
      </c>
      <c r="BI22" s="47">
        <f>IF(ISNUMBER(AV22),AV22,IF(ISNUMBER(V22),V22,""))</f>
        <v/>
      </c>
      <c r="BJ22" s="47">
        <f>IF(ISNUMBER(BF22),BF22,IF(ISNUMBER(AN22),AN22,""))</f>
        <v/>
      </c>
      <c r="BK22" s="47">
        <f>IF(AND(ISNUMBER(BI22),ISNUMBER(BJ22)),BJ22-BI22,"")</f>
        <v/>
      </c>
      <c r="BL22" s="42">
        <f>IF(ISNUMBER(AV22),"하위항목",IF(ISNUMBER(V22),"SPSS총점",""))</f>
        <v/>
      </c>
      <c r="BM22" s="42">
        <f>IF(ISNUMBER(BF22),"하위항목",IF(ISNUMBER(AN22),"SPSS총점",""))</f>
        <v/>
      </c>
      <c r="BN22" s="50">
        <f>IF($A22="","",IFERROR(IF(ISNUMBER(INDEX('FMS_평가자2'!$AP$4:$AP$33,MATCH($A22,'FMS_평가자2'!$A$4:$A$33,0))),INDEX('FMS_평가자2'!$AP$4:$AP$33,MATCH($A22,'FMS_평가자2'!$A$4:$A$33,0)),""),""))</f>
        <v/>
      </c>
      <c r="BO22" s="50">
        <f>IF($A22="","",IFERROR(IF(ISNUMBER(INDEX('FMS_평가자2'!$AY$4:$AY$33,MATCH($A22,'FMS_평가자2'!$A$4:$A$33,0))),INDEX('FMS_평가자2'!$AY$4:$AY$33,MATCH($A22,'FMS_평가자2'!$A$4:$A$33,0)),""),""))</f>
        <v/>
      </c>
      <c r="BP22" s="47">
        <f>IF(AND(ISNUMBER(AV22),ISNUMBER(BN22)),(AV22+BN22)/2,"")</f>
        <v/>
      </c>
      <c r="BQ22" s="47">
        <f>IF(AND(ISNUMBER(BF22),ISNUMBER(BO22)),(BF22+BO22)/2,"")</f>
        <v/>
      </c>
      <c r="BR22" s="47">
        <f>IF(AND(ISNUMBER(BP22),ISNUMBER(BQ22)),BQ22-BP22,"")</f>
        <v/>
      </c>
      <c r="BS22" s="51">
        <f>IF(A22="","",TRIM(IF(B22="ID없음","대상자_VO2max 시트에 없는 ID ","")&amp;IF(LEN(A22)&lt;&gt;LEN(TRIM(A22)),"ID 앞뒤 공백 ","")&amp;IF(COUNTIF($A$4:$A$33,A22)&gt;1,"ID 중복 ","")&amp;IF(AND(B22&lt;&gt;"ID없음",OR(B22="",AND(B22&lt;&gt;1,B22&lt;&gt;2))),"집단 코드 확인(대상자 시트) ","")&amp;IF(AND(B22&lt;&gt;"ID없음",OR(C22="",AND(C22&lt;&gt;0,C22&lt;&gt;1))),"분석포함 코드 확인 ","")&amp;IF(AND(COUNT(G22,H22,I22,J22,K22,L22,M22,O22,P22,Q22,S22,T22)&gt;0,COUNT(G22,H22,I22,J22,K22,L22,M22,O22,P22,Q22,S22,T22)&lt;12),"사전 동작점수 일부 빈칸 ","")&amp;IF(AND(COUNT(Y22,Z22,AA22,AB22,AC22,AD22,AE22,AG22,AH22,AI22,AK22,AL22)&gt;0,COUNT(Y22,Z22,AA22,AB22,AC22,AD22,AE22,AG22,AH22,AI22,AK22,AL22)&lt;12),"사후 동작점수 일부 빈칸 ","")&amp;IF(AND(V22&lt;&gt;"",NOT(ISNUMBER(V22))),"사전 SPSS총점 숫자 아님 ","")&amp;IF(AND(AN22&lt;&gt;"",NOT(ISNUMBER(AN22))),"사후 SPSS총점 숫자 아님 ","")&amp;IF(AND(ISNUMBER(AV22),ISNUMBER(V22)),IF(AV22&lt;&gt;V22,"사전: 계산총점≠SPSS총점 ",""),"")&amp;IF(ISNUMBER(BI22),IF(BI22&lt;&gt;INT(BI22),"사전 총점 정수 아님 ",""),"")&amp;IF(ISNUMBER(BI22),IF(OR(BI22&lt;0,BI22&gt;21),"사전 총점 범위(0–21) 밖 ",""),"")&amp;IF(AND(ISNUMBER(BF22),ISNUMBER(AN22)),IF(BF22&lt;&gt;AN22,"사후: 계산총점≠SPSS총점 ",""),"")&amp;IF(ISNUMBER(BJ22),IF(BJ22&lt;&gt;INT(BJ22),"사후 총점 정수 아님 ",""),"")&amp;IF(ISNUMBER(BJ22),IF(OR(BJ22&lt;0,BJ22&gt;21),"사후 총점 범위(0–21) 밖 ",""),"")&amp;IF(C22=1,IF(OR(NOT(ISNUMBER(BI22)),NOT(ISNUMBER(BJ22))),"분석포함인데 FMS 결측 ",""),"")))</f>
        <v/>
      </c>
    </row>
    <row r="23">
      <c r="A23" s="40" t="n"/>
      <c r="B23" s="50">
        <f>IF($A23="","",IFERROR(IF(INDEX('대상자_VO2max'!$B$4:$B$33,MATCH($A23,'대상자_VO2max'!$A$4:$A$33,0))="","",INDEX('대상자_VO2max'!$B$4:$B$33,MATCH($A23,'대상자_VO2max'!$A$4:$A$33,0))),"ID없음"))</f>
        <v/>
      </c>
      <c r="C23" s="50">
        <f>IF(ISNUMBER(D23),D23,IF($A23="","",IFERROR(IF(INDEX('대상자_VO2max'!$D$4:$D$33,MATCH($A23,'대상자_VO2max'!$A$4:$A$33,0))="","",INDEX('대상자_VO2max'!$D$4:$D$33,MATCH($A23,'대상자_VO2max'!$A$4:$A$33,0))),"ID없음")))</f>
        <v/>
      </c>
      <c r="D23" s="41" t="n"/>
      <c r="E23" s="40" t="n"/>
      <c r="F23" s="46" t="n"/>
      <c r="G23" s="41" t="n"/>
      <c r="H23" s="41" t="n"/>
      <c r="I23" s="41" t="n"/>
      <c r="J23" s="41" t="n"/>
      <c r="K23" s="41" t="n"/>
      <c r="L23" s="41" t="n"/>
      <c r="M23" s="41" t="n"/>
      <c r="N23" s="41" t="n"/>
      <c r="O23" s="41" t="n"/>
      <c r="P23" s="41" t="n"/>
      <c r="Q23" s="41" t="n"/>
      <c r="R23" s="41" t="n"/>
      <c r="S23" s="41" t="n"/>
      <c r="T23" s="41" t="n"/>
      <c r="U23" s="41" t="n"/>
      <c r="V23" s="45" t="n"/>
      <c r="W23" s="40" t="n"/>
      <c r="X23" s="46" t="n"/>
      <c r="Y23" s="41" t="n"/>
      <c r="Z23" s="41" t="n"/>
      <c r="AA23" s="41" t="n"/>
      <c r="AB23" s="41" t="n"/>
      <c r="AC23" s="41" t="n"/>
      <c r="AD23" s="41" t="n"/>
      <c r="AE23" s="41" t="n"/>
      <c r="AF23" s="41" t="n"/>
      <c r="AG23" s="41" t="n"/>
      <c r="AH23" s="41" t="n"/>
      <c r="AI23" s="41" t="n"/>
      <c r="AJ23" s="41" t="n"/>
      <c r="AK23" s="41" t="n"/>
      <c r="AL23" s="41" t="n"/>
      <c r="AM23" s="41" t="n"/>
      <c r="AN23" s="45" t="n"/>
      <c r="AO23" s="50">
        <f>IF(ISNUMBER(G23),G23,"")</f>
        <v/>
      </c>
      <c r="AP23" s="50">
        <f>IF(AND(ISNUMBER(H23),ISNUMBER(I23)),MIN(H23,I23),"")</f>
        <v/>
      </c>
      <c r="AQ23" s="50">
        <f>IF(AND(ISNUMBER(J23),ISNUMBER(K23)),MIN(J23,K23),"")</f>
        <v/>
      </c>
      <c r="AR23" s="50">
        <f>IF(AND(ISNUMBER(L23),ISNUMBER(M23)),IF(N23=1,0,MIN(L23,M23)),"")</f>
        <v/>
      </c>
      <c r="AS23" s="50">
        <f>IF(AND(ISNUMBER(O23),ISNUMBER(P23)),MIN(O23,P23),"")</f>
        <v/>
      </c>
      <c r="AT23" s="50">
        <f>IF(ISNUMBER(Q23),IF(R23=1,0,Q23),"")</f>
        <v/>
      </c>
      <c r="AU23" s="50">
        <f>IF(AND(ISNUMBER(S23),ISNUMBER(T23)),IF(U23=1,0,MIN(S23,T23)),"")</f>
        <v/>
      </c>
      <c r="AV23" s="50">
        <f>IF(COUNT(AO23:AU23)=7,SUM(AO23:AU23),"")</f>
        <v/>
      </c>
      <c r="AW23" s="50">
        <f>IF(ISNUMBER(AV23),--(H23&lt;&gt;I23)+--(J23&lt;&gt;K23)+--(L23&lt;&gt;M23)+--(O23&lt;&gt;P23)+--(S23&lt;&gt;T23),"")</f>
        <v/>
      </c>
      <c r="AX23" s="50">
        <f>IF(ISNUMBER(AV23),COUNT(N23,R23,U23),"")</f>
        <v/>
      </c>
      <c r="AY23" s="50">
        <f>IF(ISNUMBER(Y23),Y23,"")</f>
        <v/>
      </c>
      <c r="AZ23" s="50">
        <f>IF(AND(ISNUMBER(Z23),ISNUMBER(AA23)),MIN(Z23,AA23),"")</f>
        <v/>
      </c>
      <c r="BA23" s="50">
        <f>IF(AND(ISNUMBER(AB23),ISNUMBER(AC23)),MIN(AB23,AC23),"")</f>
        <v/>
      </c>
      <c r="BB23" s="50">
        <f>IF(AND(ISNUMBER(AD23),ISNUMBER(AE23)),IF(AF23=1,0,MIN(AD23,AE23)),"")</f>
        <v/>
      </c>
      <c r="BC23" s="50">
        <f>IF(AND(ISNUMBER(AG23),ISNUMBER(AH23)),MIN(AG23,AH23),"")</f>
        <v/>
      </c>
      <c r="BD23" s="50">
        <f>IF(ISNUMBER(AI23),IF(AJ23=1,0,AI23),"")</f>
        <v/>
      </c>
      <c r="BE23" s="50">
        <f>IF(AND(ISNUMBER(AK23),ISNUMBER(AL23)),IF(AM23=1,0,MIN(AK23,AL23)),"")</f>
        <v/>
      </c>
      <c r="BF23" s="50">
        <f>IF(COUNT(AY23:BE23)=7,SUM(AY23:BE23),"")</f>
        <v/>
      </c>
      <c r="BG23" s="50">
        <f>IF(ISNUMBER(BF23),--(Z23&lt;&gt;AA23)+--(AB23&lt;&gt;AC23)+--(AD23&lt;&gt;AE23)+--(AG23&lt;&gt;AH23)+--(AK23&lt;&gt;AL23),"")</f>
        <v/>
      </c>
      <c r="BH23" s="50">
        <f>IF(ISNUMBER(BF23),COUNT(AF23,AJ23,AM23),"")</f>
        <v/>
      </c>
      <c r="BI23" s="47">
        <f>IF(ISNUMBER(AV23),AV23,IF(ISNUMBER(V23),V23,""))</f>
        <v/>
      </c>
      <c r="BJ23" s="47">
        <f>IF(ISNUMBER(BF23),BF23,IF(ISNUMBER(AN23),AN23,""))</f>
        <v/>
      </c>
      <c r="BK23" s="47">
        <f>IF(AND(ISNUMBER(BI23),ISNUMBER(BJ23)),BJ23-BI23,"")</f>
        <v/>
      </c>
      <c r="BL23" s="42">
        <f>IF(ISNUMBER(AV23),"하위항목",IF(ISNUMBER(V23),"SPSS총점",""))</f>
        <v/>
      </c>
      <c r="BM23" s="42">
        <f>IF(ISNUMBER(BF23),"하위항목",IF(ISNUMBER(AN23),"SPSS총점",""))</f>
        <v/>
      </c>
      <c r="BN23" s="50">
        <f>IF($A23="","",IFERROR(IF(ISNUMBER(INDEX('FMS_평가자2'!$AP$4:$AP$33,MATCH($A23,'FMS_평가자2'!$A$4:$A$33,0))),INDEX('FMS_평가자2'!$AP$4:$AP$33,MATCH($A23,'FMS_평가자2'!$A$4:$A$33,0)),""),""))</f>
        <v/>
      </c>
      <c r="BO23" s="50">
        <f>IF($A23="","",IFERROR(IF(ISNUMBER(INDEX('FMS_평가자2'!$AY$4:$AY$33,MATCH($A23,'FMS_평가자2'!$A$4:$A$33,0))),INDEX('FMS_평가자2'!$AY$4:$AY$33,MATCH($A23,'FMS_평가자2'!$A$4:$A$33,0)),""),""))</f>
        <v/>
      </c>
      <c r="BP23" s="47">
        <f>IF(AND(ISNUMBER(AV23),ISNUMBER(BN23)),(AV23+BN23)/2,"")</f>
        <v/>
      </c>
      <c r="BQ23" s="47">
        <f>IF(AND(ISNUMBER(BF23),ISNUMBER(BO23)),(BF23+BO23)/2,"")</f>
        <v/>
      </c>
      <c r="BR23" s="47">
        <f>IF(AND(ISNUMBER(BP23),ISNUMBER(BQ23)),BQ23-BP23,"")</f>
        <v/>
      </c>
      <c r="BS23" s="51">
        <f>IF(A23="","",TRIM(IF(B23="ID없음","대상자_VO2max 시트에 없는 ID ","")&amp;IF(LEN(A23)&lt;&gt;LEN(TRIM(A23)),"ID 앞뒤 공백 ","")&amp;IF(COUNTIF($A$4:$A$33,A23)&gt;1,"ID 중복 ","")&amp;IF(AND(B23&lt;&gt;"ID없음",OR(B23="",AND(B23&lt;&gt;1,B23&lt;&gt;2))),"집단 코드 확인(대상자 시트) ","")&amp;IF(AND(B23&lt;&gt;"ID없음",OR(C23="",AND(C23&lt;&gt;0,C23&lt;&gt;1))),"분석포함 코드 확인 ","")&amp;IF(AND(COUNT(G23,H23,I23,J23,K23,L23,M23,O23,P23,Q23,S23,T23)&gt;0,COUNT(G23,H23,I23,J23,K23,L23,M23,O23,P23,Q23,S23,T23)&lt;12),"사전 동작점수 일부 빈칸 ","")&amp;IF(AND(COUNT(Y23,Z23,AA23,AB23,AC23,AD23,AE23,AG23,AH23,AI23,AK23,AL23)&gt;0,COUNT(Y23,Z23,AA23,AB23,AC23,AD23,AE23,AG23,AH23,AI23,AK23,AL23)&lt;12),"사후 동작점수 일부 빈칸 ","")&amp;IF(AND(V23&lt;&gt;"",NOT(ISNUMBER(V23))),"사전 SPSS총점 숫자 아님 ","")&amp;IF(AND(AN23&lt;&gt;"",NOT(ISNUMBER(AN23))),"사후 SPSS총점 숫자 아님 ","")&amp;IF(AND(ISNUMBER(AV23),ISNUMBER(V23)),IF(AV23&lt;&gt;V23,"사전: 계산총점≠SPSS총점 ",""),"")&amp;IF(ISNUMBER(BI23),IF(BI23&lt;&gt;INT(BI23),"사전 총점 정수 아님 ",""),"")&amp;IF(ISNUMBER(BI23),IF(OR(BI23&lt;0,BI23&gt;21),"사전 총점 범위(0–21) 밖 ",""),"")&amp;IF(AND(ISNUMBER(BF23),ISNUMBER(AN23)),IF(BF23&lt;&gt;AN23,"사후: 계산총점≠SPSS총점 ",""),"")&amp;IF(ISNUMBER(BJ23),IF(BJ23&lt;&gt;INT(BJ23),"사후 총점 정수 아님 ",""),"")&amp;IF(ISNUMBER(BJ23),IF(OR(BJ23&lt;0,BJ23&gt;21),"사후 총점 범위(0–21) 밖 ",""),"")&amp;IF(C23=1,IF(OR(NOT(ISNUMBER(BI23)),NOT(ISNUMBER(BJ23))),"분석포함인데 FMS 결측 ",""),"")))</f>
        <v/>
      </c>
    </row>
    <row r="24">
      <c r="A24" s="40" t="n"/>
      <c r="B24" s="50">
        <f>IF($A24="","",IFERROR(IF(INDEX('대상자_VO2max'!$B$4:$B$33,MATCH($A24,'대상자_VO2max'!$A$4:$A$33,0))="","",INDEX('대상자_VO2max'!$B$4:$B$33,MATCH($A24,'대상자_VO2max'!$A$4:$A$33,0))),"ID없음"))</f>
        <v/>
      </c>
      <c r="C24" s="50">
        <f>IF(ISNUMBER(D24),D24,IF($A24="","",IFERROR(IF(INDEX('대상자_VO2max'!$D$4:$D$33,MATCH($A24,'대상자_VO2max'!$A$4:$A$33,0))="","",INDEX('대상자_VO2max'!$D$4:$D$33,MATCH($A24,'대상자_VO2max'!$A$4:$A$33,0))),"ID없음")))</f>
        <v/>
      </c>
      <c r="D24" s="41" t="n"/>
      <c r="E24" s="40" t="n"/>
      <c r="F24" s="46" t="n"/>
      <c r="G24" s="41" t="n"/>
      <c r="H24" s="41" t="n"/>
      <c r="I24" s="41" t="n"/>
      <c r="J24" s="41" t="n"/>
      <c r="K24" s="41" t="n"/>
      <c r="L24" s="41" t="n"/>
      <c r="M24" s="41" t="n"/>
      <c r="N24" s="41" t="n"/>
      <c r="O24" s="41" t="n"/>
      <c r="P24" s="41" t="n"/>
      <c r="Q24" s="41" t="n"/>
      <c r="R24" s="41" t="n"/>
      <c r="S24" s="41" t="n"/>
      <c r="T24" s="41" t="n"/>
      <c r="U24" s="41" t="n"/>
      <c r="V24" s="45" t="n"/>
      <c r="W24" s="40" t="n"/>
      <c r="X24" s="46" t="n"/>
      <c r="Y24" s="41" t="n"/>
      <c r="Z24" s="41" t="n"/>
      <c r="AA24" s="41" t="n"/>
      <c r="AB24" s="41" t="n"/>
      <c r="AC24" s="41" t="n"/>
      <c r="AD24" s="41" t="n"/>
      <c r="AE24" s="41" t="n"/>
      <c r="AF24" s="41" t="n"/>
      <c r="AG24" s="41" t="n"/>
      <c r="AH24" s="41" t="n"/>
      <c r="AI24" s="41" t="n"/>
      <c r="AJ24" s="41" t="n"/>
      <c r="AK24" s="41" t="n"/>
      <c r="AL24" s="41" t="n"/>
      <c r="AM24" s="41" t="n"/>
      <c r="AN24" s="45" t="n"/>
      <c r="AO24" s="50">
        <f>IF(ISNUMBER(G24),G24,"")</f>
        <v/>
      </c>
      <c r="AP24" s="50">
        <f>IF(AND(ISNUMBER(H24),ISNUMBER(I24)),MIN(H24,I24),"")</f>
        <v/>
      </c>
      <c r="AQ24" s="50">
        <f>IF(AND(ISNUMBER(J24),ISNUMBER(K24)),MIN(J24,K24),"")</f>
        <v/>
      </c>
      <c r="AR24" s="50">
        <f>IF(AND(ISNUMBER(L24),ISNUMBER(M24)),IF(N24=1,0,MIN(L24,M24)),"")</f>
        <v/>
      </c>
      <c r="AS24" s="50">
        <f>IF(AND(ISNUMBER(O24),ISNUMBER(P24)),MIN(O24,P24),"")</f>
        <v/>
      </c>
      <c r="AT24" s="50">
        <f>IF(ISNUMBER(Q24),IF(R24=1,0,Q24),"")</f>
        <v/>
      </c>
      <c r="AU24" s="50">
        <f>IF(AND(ISNUMBER(S24),ISNUMBER(T24)),IF(U24=1,0,MIN(S24,T24)),"")</f>
        <v/>
      </c>
      <c r="AV24" s="50">
        <f>IF(COUNT(AO24:AU24)=7,SUM(AO24:AU24),"")</f>
        <v/>
      </c>
      <c r="AW24" s="50">
        <f>IF(ISNUMBER(AV24),--(H24&lt;&gt;I24)+--(J24&lt;&gt;K24)+--(L24&lt;&gt;M24)+--(O24&lt;&gt;P24)+--(S24&lt;&gt;T24),"")</f>
        <v/>
      </c>
      <c r="AX24" s="50">
        <f>IF(ISNUMBER(AV24),COUNT(N24,R24,U24),"")</f>
        <v/>
      </c>
      <c r="AY24" s="50">
        <f>IF(ISNUMBER(Y24),Y24,"")</f>
        <v/>
      </c>
      <c r="AZ24" s="50">
        <f>IF(AND(ISNUMBER(Z24),ISNUMBER(AA24)),MIN(Z24,AA24),"")</f>
        <v/>
      </c>
      <c r="BA24" s="50">
        <f>IF(AND(ISNUMBER(AB24),ISNUMBER(AC24)),MIN(AB24,AC24),"")</f>
        <v/>
      </c>
      <c r="BB24" s="50">
        <f>IF(AND(ISNUMBER(AD24),ISNUMBER(AE24)),IF(AF24=1,0,MIN(AD24,AE24)),"")</f>
        <v/>
      </c>
      <c r="BC24" s="50">
        <f>IF(AND(ISNUMBER(AG24),ISNUMBER(AH24)),MIN(AG24,AH24),"")</f>
        <v/>
      </c>
      <c r="BD24" s="50">
        <f>IF(ISNUMBER(AI24),IF(AJ24=1,0,AI24),"")</f>
        <v/>
      </c>
      <c r="BE24" s="50">
        <f>IF(AND(ISNUMBER(AK24),ISNUMBER(AL24)),IF(AM24=1,0,MIN(AK24,AL24)),"")</f>
        <v/>
      </c>
      <c r="BF24" s="50">
        <f>IF(COUNT(AY24:BE24)=7,SUM(AY24:BE24),"")</f>
        <v/>
      </c>
      <c r="BG24" s="50">
        <f>IF(ISNUMBER(BF24),--(Z24&lt;&gt;AA24)+--(AB24&lt;&gt;AC24)+--(AD24&lt;&gt;AE24)+--(AG24&lt;&gt;AH24)+--(AK24&lt;&gt;AL24),"")</f>
        <v/>
      </c>
      <c r="BH24" s="50">
        <f>IF(ISNUMBER(BF24),COUNT(AF24,AJ24,AM24),"")</f>
        <v/>
      </c>
      <c r="BI24" s="47">
        <f>IF(ISNUMBER(AV24),AV24,IF(ISNUMBER(V24),V24,""))</f>
        <v/>
      </c>
      <c r="BJ24" s="47">
        <f>IF(ISNUMBER(BF24),BF24,IF(ISNUMBER(AN24),AN24,""))</f>
        <v/>
      </c>
      <c r="BK24" s="47">
        <f>IF(AND(ISNUMBER(BI24),ISNUMBER(BJ24)),BJ24-BI24,"")</f>
        <v/>
      </c>
      <c r="BL24" s="42">
        <f>IF(ISNUMBER(AV24),"하위항목",IF(ISNUMBER(V24),"SPSS총점",""))</f>
        <v/>
      </c>
      <c r="BM24" s="42">
        <f>IF(ISNUMBER(BF24),"하위항목",IF(ISNUMBER(AN24),"SPSS총점",""))</f>
        <v/>
      </c>
      <c r="BN24" s="50">
        <f>IF($A24="","",IFERROR(IF(ISNUMBER(INDEX('FMS_평가자2'!$AP$4:$AP$33,MATCH($A24,'FMS_평가자2'!$A$4:$A$33,0))),INDEX('FMS_평가자2'!$AP$4:$AP$33,MATCH($A24,'FMS_평가자2'!$A$4:$A$33,0)),""),""))</f>
        <v/>
      </c>
      <c r="BO24" s="50">
        <f>IF($A24="","",IFERROR(IF(ISNUMBER(INDEX('FMS_평가자2'!$AY$4:$AY$33,MATCH($A24,'FMS_평가자2'!$A$4:$A$33,0))),INDEX('FMS_평가자2'!$AY$4:$AY$33,MATCH($A24,'FMS_평가자2'!$A$4:$A$33,0)),""),""))</f>
        <v/>
      </c>
      <c r="BP24" s="47">
        <f>IF(AND(ISNUMBER(AV24),ISNUMBER(BN24)),(AV24+BN24)/2,"")</f>
        <v/>
      </c>
      <c r="BQ24" s="47">
        <f>IF(AND(ISNUMBER(BF24),ISNUMBER(BO24)),(BF24+BO24)/2,"")</f>
        <v/>
      </c>
      <c r="BR24" s="47">
        <f>IF(AND(ISNUMBER(BP24),ISNUMBER(BQ24)),BQ24-BP24,"")</f>
        <v/>
      </c>
      <c r="BS24" s="51">
        <f>IF(A24="","",TRIM(IF(B24="ID없음","대상자_VO2max 시트에 없는 ID ","")&amp;IF(LEN(A24)&lt;&gt;LEN(TRIM(A24)),"ID 앞뒤 공백 ","")&amp;IF(COUNTIF($A$4:$A$33,A24)&gt;1,"ID 중복 ","")&amp;IF(AND(B24&lt;&gt;"ID없음",OR(B24="",AND(B24&lt;&gt;1,B24&lt;&gt;2))),"집단 코드 확인(대상자 시트) ","")&amp;IF(AND(B24&lt;&gt;"ID없음",OR(C24="",AND(C24&lt;&gt;0,C24&lt;&gt;1))),"분석포함 코드 확인 ","")&amp;IF(AND(COUNT(G24,H24,I24,J24,K24,L24,M24,O24,P24,Q24,S24,T24)&gt;0,COUNT(G24,H24,I24,J24,K24,L24,M24,O24,P24,Q24,S24,T24)&lt;12),"사전 동작점수 일부 빈칸 ","")&amp;IF(AND(COUNT(Y24,Z24,AA24,AB24,AC24,AD24,AE24,AG24,AH24,AI24,AK24,AL24)&gt;0,COUNT(Y24,Z24,AA24,AB24,AC24,AD24,AE24,AG24,AH24,AI24,AK24,AL24)&lt;12),"사후 동작점수 일부 빈칸 ","")&amp;IF(AND(V24&lt;&gt;"",NOT(ISNUMBER(V24))),"사전 SPSS총점 숫자 아님 ","")&amp;IF(AND(AN24&lt;&gt;"",NOT(ISNUMBER(AN24))),"사후 SPSS총점 숫자 아님 ","")&amp;IF(AND(ISNUMBER(AV24),ISNUMBER(V24)),IF(AV24&lt;&gt;V24,"사전: 계산총점≠SPSS총점 ",""),"")&amp;IF(ISNUMBER(BI24),IF(BI24&lt;&gt;INT(BI24),"사전 총점 정수 아님 ",""),"")&amp;IF(ISNUMBER(BI24),IF(OR(BI24&lt;0,BI24&gt;21),"사전 총점 범위(0–21) 밖 ",""),"")&amp;IF(AND(ISNUMBER(BF24),ISNUMBER(AN24)),IF(BF24&lt;&gt;AN24,"사후: 계산총점≠SPSS총점 ",""),"")&amp;IF(ISNUMBER(BJ24),IF(BJ24&lt;&gt;INT(BJ24),"사후 총점 정수 아님 ",""),"")&amp;IF(ISNUMBER(BJ24),IF(OR(BJ24&lt;0,BJ24&gt;21),"사후 총점 범위(0–21) 밖 ",""),"")&amp;IF(C24=1,IF(OR(NOT(ISNUMBER(BI24)),NOT(ISNUMBER(BJ24))),"분석포함인데 FMS 결측 ",""),"")))</f>
        <v/>
      </c>
    </row>
    <row r="25">
      <c r="A25" s="40" t="n"/>
      <c r="B25" s="50">
        <f>IF($A25="","",IFERROR(IF(INDEX('대상자_VO2max'!$B$4:$B$33,MATCH($A25,'대상자_VO2max'!$A$4:$A$33,0))="","",INDEX('대상자_VO2max'!$B$4:$B$33,MATCH($A25,'대상자_VO2max'!$A$4:$A$33,0))),"ID없음"))</f>
        <v/>
      </c>
      <c r="C25" s="50">
        <f>IF(ISNUMBER(D25),D25,IF($A25="","",IFERROR(IF(INDEX('대상자_VO2max'!$D$4:$D$33,MATCH($A25,'대상자_VO2max'!$A$4:$A$33,0))="","",INDEX('대상자_VO2max'!$D$4:$D$33,MATCH($A25,'대상자_VO2max'!$A$4:$A$33,0))),"ID없음")))</f>
        <v/>
      </c>
      <c r="D25" s="41" t="n"/>
      <c r="E25" s="40" t="n"/>
      <c r="F25" s="46" t="n"/>
      <c r="G25" s="41" t="n"/>
      <c r="H25" s="41" t="n"/>
      <c r="I25" s="41" t="n"/>
      <c r="J25" s="41" t="n"/>
      <c r="K25" s="41" t="n"/>
      <c r="L25" s="41" t="n"/>
      <c r="M25" s="41" t="n"/>
      <c r="N25" s="41" t="n"/>
      <c r="O25" s="41" t="n"/>
      <c r="P25" s="41" t="n"/>
      <c r="Q25" s="41" t="n"/>
      <c r="R25" s="41" t="n"/>
      <c r="S25" s="41" t="n"/>
      <c r="T25" s="41" t="n"/>
      <c r="U25" s="41" t="n"/>
      <c r="V25" s="45" t="n"/>
      <c r="W25" s="40" t="n"/>
      <c r="X25" s="46" t="n"/>
      <c r="Y25" s="41" t="n"/>
      <c r="Z25" s="41" t="n"/>
      <c r="AA25" s="41" t="n"/>
      <c r="AB25" s="41" t="n"/>
      <c r="AC25" s="41" t="n"/>
      <c r="AD25" s="41" t="n"/>
      <c r="AE25" s="41" t="n"/>
      <c r="AF25" s="41" t="n"/>
      <c r="AG25" s="41" t="n"/>
      <c r="AH25" s="41" t="n"/>
      <c r="AI25" s="41" t="n"/>
      <c r="AJ25" s="41" t="n"/>
      <c r="AK25" s="41" t="n"/>
      <c r="AL25" s="41" t="n"/>
      <c r="AM25" s="41" t="n"/>
      <c r="AN25" s="45" t="n"/>
      <c r="AO25" s="50">
        <f>IF(ISNUMBER(G25),G25,"")</f>
        <v/>
      </c>
      <c r="AP25" s="50">
        <f>IF(AND(ISNUMBER(H25),ISNUMBER(I25)),MIN(H25,I25),"")</f>
        <v/>
      </c>
      <c r="AQ25" s="50">
        <f>IF(AND(ISNUMBER(J25),ISNUMBER(K25)),MIN(J25,K25),"")</f>
        <v/>
      </c>
      <c r="AR25" s="50">
        <f>IF(AND(ISNUMBER(L25),ISNUMBER(M25)),IF(N25=1,0,MIN(L25,M25)),"")</f>
        <v/>
      </c>
      <c r="AS25" s="50">
        <f>IF(AND(ISNUMBER(O25),ISNUMBER(P25)),MIN(O25,P25),"")</f>
        <v/>
      </c>
      <c r="AT25" s="50">
        <f>IF(ISNUMBER(Q25),IF(R25=1,0,Q25),"")</f>
        <v/>
      </c>
      <c r="AU25" s="50">
        <f>IF(AND(ISNUMBER(S25),ISNUMBER(T25)),IF(U25=1,0,MIN(S25,T25)),"")</f>
        <v/>
      </c>
      <c r="AV25" s="50">
        <f>IF(COUNT(AO25:AU25)=7,SUM(AO25:AU25),"")</f>
        <v/>
      </c>
      <c r="AW25" s="50">
        <f>IF(ISNUMBER(AV25),--(H25&lt;&gt;I25)+--(J25&lt;&gt;K25)+--(L25&lt;&gt;M25)+--(O25&lt;&gt;P25)+--(S25&lt;&gt;T25),"")</f>
        <v/>
      </c>
      <c r="AX25" s="50">
        <f>IF(ISNUMBER(AV25),COUNT(N25,R25,U25),"")</f>
        <v/>
      </c>
      <c r="AY25" s="50">
        <f>IF(ISNUMBER(Y25),Y25,"")</f>
        <v/>
      </c>
      <c r="AZ25" s="50">
        <f>IF(AND(ISNUMBER(Z25),ISNUMBER(AA25)),MIN(Z25,AA25),"")</f>
        <v/>
      </c>
      <c r="BA25" s="50">
        <f>IF(AND(ISNUMBER(AB25),ISNUMBER(AC25)),MIN(AB25,AC25),"")</f>
        <v/>
      </c>
      <c r="BB25" s="50">
        <f>IF(AND(ISNUMBER(AD25),ISNUMBER(AE25)),IF(AF25=1,0,MIN(AD25,AE25)),"")</f>
        <v/>
      </c>
      <c r="BC25" s="50">
        <f>IF(AND(ISNUMBER(AG25),ISNUMBER(AH25)),MIN(AG25,AH25),"")</f>
        <v/>
      </c>
      <c r="BD25" s="50">
        <f>IF(ISNUMBER(AI25),IF(AJ25=1,0,AI25),"")</f>
        <v/>
      </c>
      <c r="BE25" s="50">
        <f>IF(AND(ISNUMBER(AK25),ISNUMBER(AL25)),IF(AM25=1,0,MIN(AK25,AL25)),"")</f>
        <v/>
      </c>
      <c r="BF25" s="50">
        <f>IF(COUNT(AY25:BE25)=7,SUM(AY25:BE25),"")</f>
        <v/>
      </c>
      <c r="BG25" s="50">
        <f>IF(ISNUMBER(BF25),--(Z25&lt;&gt;AA25)+--(AB25&lt;&gt;AC25)+--(AD25&lt;&gt;AE25)+--(AG25&lt;&gt;AH25)+--(AK25&lt;&gt;AL25),"")</f>
        <v/>
      </c>
      <c r="BH25" s="50">
        <f>IF(ISNUMBER(BF25),COUNT(AF25,AJ25,AM25),"")</f>
        <v/>
      </c>
      <c r="BI25" s="47">
        <f>IF(ISNUMBER(AV25),AV25,IF(ISNUMBER(V25),V25,""))</f>
        <v/>
      </c>
      <c r="BJ25" s="47">
        <f>IF(ISNUMBER(BF25),BF25,IF(ISNUMBER(AN25),AN25,""))</f>
        <v/>
      </c>
      <c r="BK25" s="47">
        <f>IF(AND(ISNUMBER(BI25),ISNUMBER(BJ25)),BJ25-BI25,"")</f>
        <v/>
      </c>
      <c r="BL25" s="42">
        <f>IF(ISNUMBER(AV25),"하위항목",IF(ISNUMBER(V25),"SPSS총점",""))</f>
        <v/>
      </c>
      <c r="BM25" s="42">
        <f>IF(ISNUMBER(BF25),"하위항목",IF(ISNUMBER(AN25),"SPSS총점",""))</f>
        <v/>
      </c>
      <c r="BN25" s="50">
        <f>IF($A25="","",IFERROR(IF(ISNUMBER(INDEX('FMS_평가자2'!$AP$4:$AP$33,MATCH($A25,'FMS_평가자2'!$A$4:$A$33,0))),INDEX('FMS_평가자2'!$AP$4:$AP$33,MATCH($A25,'FMS_평가자2'!$A$4:$A$33,0)),""),""))</f>
        <v/>
      </c>
      <c r="BO25" s="50">
        <f>IF($A25="","",IFERROR(IF(ISNUMBER(INDEX('FMS_평가자2'!$AY$4:$AY$33,MATCH($A25,'FMS_평가자2'!$A$4:$A$33,0))),INDEX('FMS_평가자2'!$AY$4:$AY$33,MATCH($A25,'FMS_평가자2'!$A$4:$A$33,0)),""),""))</f>
        <v/>
      </c>
      <c r="BP25" s="47">
        <f>IF(AND(ISNUMBER(AV25),ISNUMBER(BN25)),(AV25+BN25)/2,"")</f>
        <v/>
      </c>
      <c r="BQ25" s="47">
        <f>IF(AND(ISNUMBER(BF25),ISNUMBER(BO25)),(BF25+BO25)/2,"")</f>
        <v/>
      </c>
      <c r="BR25" s="47">
        <f>IF(AND(ISNUMBER(BP25),ISNUMBER(BQ25)),BQ25-BP25,"")</f>
        <v/>
      </c>
      <c r="BS25" s="51">
        <f>IF(A25="","",TRIM(IF(B25="ID없음","대상자_VO2max 시트에 없는 ID ","")&amp;IF(LEN(A25)&lt;&gt;LEN(TRIM(A25)),"ID 앞뒤 공백 ","")&amp;IF(COUNTIF($A$4:$A$33,A25)&gt;1,"ID 중복 ","")&amp;IF(AND(B25&lt;&gt;"ID없음",OR(B25="",AND(B25&lt;&gt;1,B25&lt;&gt;2))),"집단 코드 확인(대상자 시트) ","")&amp;IF(AND(B25&lt;&gt;"ID없음",OR(C25="",AND(C25&lt;&gt;0,C25&lt;&gt;1))),"분석포함 코드 확인 ","")&amp;IF(AND(COUNT(G25,H25,I25,J25,K25,L25,M25,O25,P25,Q25,S25,T25)&gt;0,COUNT(G25,H25,I25,J25,K25,L25,M25,O25,P25,Q25,S25,T25)&lt;12),"사전 동작점수 일부 빈칸 ","")&amp;IF(AND(COUNT(Y25,Z25,AA25,AB25,AC25,AD25,AE25,AG25,AH25,AI25,AK25,AL25)&gt;0,COUNT(Y25,Z25,AA25,AB25,AC25,AD25,AE25,AG25,AH25,AI25,AK25,AL25)&lt;12),"사후 동작점수 일부 빈칸 ","")&amp;IF(AND(V25&lt;&gt;"",NOT(ISNUMBER(V25))),"사전 SPSS총점 숫자 아님 ","")&amp;IF(AND(AN25&lt;&gt;"",NOT(ISNUMBER(AN25))),"사후 SPSS총점 숫자 아님 ","")&amp;IF(AND(ISNUMBER(AV25),ISNUMBER(V25)),IF(AV25&lt;&gt;V25,"사전: 계산총점≠SPSS총점 ",""),"")&amp;IF(ISNUMBER(BI25),IF(BI25&lt;&gt;INT(BI25),"사전 총점 정수 아님 ",""),"")&amp;IF(ISNUMBER(BI25),IF(OR(BI25&lt;0,BI25&gt;21),"사전 총점 범위(0–21) 밖 ",""),"")&amp;IF(AND(ISNUMBER(BF25),ISNUMBER(AN25)),IF(BF25&lt;&gt;AN25,"사후: 계산총점≠SPSS총점 ",""),"")&amp;IF(ISNUMBER(BJ25),IF(BJ25&lt;&gt;INT(BJ25),"사후 총점 정수 아님 ",""),"")&amp;IF(ISNUMBER(BJ25),IF(OR(BJ25&lt;0,BJ25&gt;21),"사후 총점 범위(0–21) 밖 ",""),"")&amp;IF(C25=1,IF(OR(NOT(ISNUMBER(BI25)),NOT(ISNUMBER(BJ25))),"분석포함인데 FMS 결측 ",""),"")))</f>
        <v/>
      </c>
    </row>
    <row r="26">
      <c r="A26" s="40" t="n"/>
      <c r="B26" s="50">
        <f>IF($A26="","",IFERROR(IF(INDEX('대상자_VO2max'!$B$4:$B$33,MATCH($A26,'대상자_VO2max'!$A$4:$A$33,0))="","",INDEX('대상자_VO2max'!$B$4:$B$33,MATCH($A26,'대상자_VO2max'!$A$4:$A$33,0))),"ID없음"))</f>
        <v/>
      </c>
      <c r="C26" s="50">
        <f>IF(ISNUMBER(D26),D26,IF($A26="","",IFERROR(IF(INDEX('대상자_VO2max'!$D$4:$D$33,MATCH($A26,'대상자_VO2max'!$A$4:$A$33,0))="","",INDEX('대상자_VO2max'!$D$4:$D$33,MATCH($A26,'대상자_VO2max'!$A$4:$A$33,0))),"ID없음")))</f>
        <v/>
      </c>
      <c r="D26" s="41" t="n"/>
      <c r="E26" s="40" t="n"/>
      <c r="F26" s="46" t="n"/>
      <c r="G26" s="41" t="n"/>
      <c r="H26" s="41" t="n"/>
      <c r="I26" s="41" t="n"/>
      <c r="J26" s="41" t="n"/>
      <c r="K26" s="41" t="n"/>
      <c r="L26" s="41" t="n"/>
      <c r="M26" s="41" t="n"/>
      <c r="N26" s="41" t="n"/>
      <c r="O26" s="41" t="n"/>
      <c r="P26" s="41" t="n"/>
      <c r="Q26" s="41" t="n"/>
      <c r="R26" s="41" t="n"/>
      <c r="S26" s="41" t="n"/>
      <c r="T26" s="41" t="n"/>
      <c r="U26" s="41" t="n"/>
      <c r="V26" s="45" t="n"/>
      <c r="W26" s="40" t="n"/>
      <c r="X26" s="46" t="n"/>
      <c r="Y26" s="41" t="n"/>
      <c r="Z26" s="41" t="n"/>
      <c r="AA26" s="41" t="n"/>
      <c r="AB26" s="41" t="n"/>
      <c r="AC26" s="41" t="n"/>
      <c r="AD26" s="41" t="n"/>
      <c r="AE26" s="41" t="n"/>
      <c r="AF26" s="41" t="n"/>
      <c r="AG26" s="41" t="n"/>
      <c r="AH26" s="41" t="n"/>
      <c r="AI26" s="41" t="n"/>
      <c r="AJ26" s="41" t="n"/>
      <c r="AK26" s="41" t="n"/>
      <c r="AL26" s="41" t="n"/>
      <c r="AM26" s="41" t="n"/>
      <c r="AN26" s="45" t="n"/>
      <c r="AO26" s="50">
        <f>IF(ISNUMBER(G26),G26,"")</f>
        <v/>
      </c>
      <c r="AP26" s="50">
        <f>IF(AND(ISNUMBER(H26),ISNUMBER(I26)),MIN(H26,I26),"")</f>
        <v/>
      </c>
      <c r="AQ26" s="50">
        <f>IF(AND(ISNUMBER(J26),ISNUMBER(K26)),MIN(J26,K26),"")</f>
        <v/>
      </c>
      <c r="AR26" s="50">
        <f>IF(AND(ISNUMBER(L26),ISNUMBER(M26)),IF(N26=1,0,MIN(L26,M26)),"")</f>
        <v/>
      </c>
      <c r="AS26" s="50">
        <f>IF(AND(ISNUMBER(O26),ISNUMBER(P26)),MIN(O26,P26),"")</f>
        <v/>
      </c>
      <c r="AT26" s="50">
        <f>IF(ISNUMBER(Q26),IF(R26=1,0,Q26),"")</f>
        <v/>
      </c>
      <c r="AU26" s="50">
        <f>IF(AND(ISNUMBER(S26),ISNUMBER(T26)),IF(U26=1,0,MIN(S26,T26)),"")</f>
        <v/>
      </c>
      <c r="AV26" s="50">
        <f>IF(COUNT(AO26:AU26)=7,SUM(AO26:AU26),"")</f>
        <v/>
      </c>
      <c r="AW26" s="50">
        <f>IF(ISNUMBER(AV26),--(H26&lt;&gt;I26)+--(J26&lt;&gt;K26)+--(L26&lt;&gt;M26)+--(O26&lt;&gt;P26)+--(S26&lt;&gt;T26),"")</f>
        <v/>
      </c>
      <c r="AX26" s="50">
        <f>IF(ISNUMBER(AV26),COUNT(N26,R26,U26),"")</f>
        <v/>
      </c>
      <c r="AY26" s="50">
        <f>IF(ISNUMBER(Y26),Y26,"")</f>
        <v/>
      </c>
      <c r="AZ26" s="50">
        <f>IF(AND(ISNUMBER(Z26),ISNUMBER(AA26)),MIN(Z26,AA26),"")</f>
        <v/>
      </c>
      <c r="BA26" s="50">
        <f>IF(AND(ISNUMBER(AB26),ISNUMBER(AC26)),MIN(AB26,AC26),"")</f>
        <v/>
      </c>
      <c r="BB26" s="50">
        <f>IF(AND(ISNUMBER(AD26),ISNUMBER(AE26)),IF(AF26=1,0,MIN(AD26,AE26)),"")</f>
        <v/>
      </c>
      <c r="BC26" s="50">
        <f>IF(AND(ISNUMBER(AG26),ISNUMBER(AH26)),MIN(AG26,AH26),"")</f>
        <v/>
      </c>
      <c r="BD26" s="50">
        <f>IF(ISNUMBER(AI26),IF(AJ26=1,0,AI26),"")</f>
        <v/>
      </c>
      <c r="BE26" s="50">
        <f>IF(AND(ISNUMBER(AK26),ISNUMBER(AL26)),IF(AM26=1,0,MIN(AK26,AL26)),"")</f>
        <v/>
      </c>
      <c r="BF26" s="50">
        <f>IF(COUNT(AY26:BE26)=7,SUM(AY26:BE26),"")</f>
        <v/>
      </c>
      <c r="BG26" s="50">
        <f>IF(ISNUMBER(BF26),--(Z26&lt;&gt;AA26)+--(AB26&lt;&gt;AC26)+--(AD26&lt;&gt;AE26)+--(AG26&lt;&gt;AH26)+--(AK26&lt;&gt;AL26),"")</f>
        <v/>
      </c>
      <c r="BH26" s="50">
        <f>IF(ISNUMBER(BF26),COUNT(AF26,AJ26,AM26),"")</f>
        <v/>
      </c>
      <c r="BI26" s="47">
        <f>IF(ISNUMBER(AV26),AV26,IF(ISNUMBER(V26),V26,""))</f>
        <v/>
      </c>
      <c r="BJ26" s="47">
        <f>IF(ISNUMBER(BF26),BF26,IF(ISNUMBER(AN26),AN26,""))</f>
        <v/>
      </c>
      <c r="BK26" s="47">
        <f>IF(AND(ISNUMBER(BI26),ISNUMBER(BJ26)),BJ26-BI26,"")</f>
        <v/>
      </c>
      <c r="BL26" s="42">
        <f>IF(ISNUMBER(AV26),"하위항목",IF(ISNUMBER(V26),"SPSS총점",""))</f>
        <v/>
      </c>
      <c r="BM26" s="42">
        <f>IF(ISNUMBER(BF26),"하위항목",IF(ISNUMBER(AN26),"SPSS총점",""))</f>
        <v/>
      </c>
      <c r="BN26" s="50">
        <f>IF($A26="","",IFERROR(IF(ISNUMBER(INDEX('FMS_평가자2'!$AP$4:$AP$33,MATCH($A26,'FMS_평가자2'!$A$4:$A$33,0))),INDEX('FMS_평가자2'!$AP$4:$AP$33,MATCH($A26,'FMS_평가자2'!$A$4:$A$33,0)),""),""))</f>
        <v/>
      </c>
      <c r="BO26" s="50">
        <f>IF($A26="","",IFERROR(IF(ISNUMBER(INDEX('FMS_평가자2'!$AY$4:$AY$33,MATCH($A26,'FMS_평가자2'!$A$4:$A$33,0))),INDEX('FMS_평가자2'!$AY$4:$AY$33,MATCH($A26,'FMS_평가자2'!$A$4:$A$33,0)),""),""))</f>
        <v/>
      </c>
      <c r="BP26" s="47">
        <f>IF(AND(ISNUMBER(AV26),ISNUMBER(BN26)),(AV26+BN26)/2,"")</f>
        <v/>
      </c>
      <c r="BQ26" s="47">
        <f>IF(AND(ISNUMBER(BF26),ISNUMBER(BO26)),(BF26+BO26)/2,"")</f>
        <v/>
      </c>
      <c r="BR26" s="47">
        <f>IF(AND(ISNUMBER(BP26),ISNUMBER(BQ26)),BQ26-BP26,"")</f>
        <v/>
      </c>
      <c r="BS26" s="51">
        <f>IF(A26="","",TRIM(IF(B26="ID없음","대상자_VO2max 시트에 없는 ID ","")&amp;IF(LEN(A26)&lt;&gt;LEN(TRIM(A26)),"ID 앞뒤 공백 ","")&amp;IF(COUNTIF($A$4:$A$33,A26)&gt;1,"ID 중복 ","")&amp;IF(AND(B26&lt;&gt;"ID없음",OR(B26="",AND(B26&lt;&gt;1,B26&lt;&gt;2))),"집단 코드 확인(대상자 시트) ","")&amp;IF(AND(B26&lt;&gt;"ID없음",OR(C26="",AND(C26&lt;&gt;0,C26&lt;&gt;1))),"분석포함 코드 확인 ","")&amp;IF(AND(COUNT(G26,H26,I26,J26,K26,L26,M26,O26,P26,Q26,S26,T26)&gt;0,COUNT(G26,H26,I26,J26,K26,L26,M26,O26,P26,Q26,S26,T26)&lt;12),"사전 동작점수 일부 빈칸 ","")&amp;IF(AND(COUNT(Y26,Z26,AA26,AB26,AC26,AD26,AE26,AG26,AH26,AI26,AK26,AL26)&gt;0,COUNT(Y26,Z26,AA26,AB26,AC26,AD26,AE26,AG26,AH26,AI26,AK26,AL26)&lt;12),"사후 동작점수 일부 빈칸 ","")&amp;IF(AND(V26&lt;&gt;"",NOT(ISNUMBER(V26))),"사전 SPSS총점 숫자 아님 ","")&amp;IF(AND(AN26&lt;&gt;"",NOT(ISNUMBER(AN26))),"사후 SPSS총점 숫자 아님 ","")&amp;IF(AND(ISNUMBER(AV26),ISNUMBER(V26)),IF(AV26&lt;&gt;V26,"사전: 계산총점≠SPSS총점 ",""),"")&amp;IF(ISNUMBER(BI26),IF(BI26&lt;&gt;INT(BI26),"사전 총점 정수 아님 ",""),"")&amp;IF(ISNUMBER(BI26),IF(OR(BI26&lt;0,BI26&gt;21),"사전 총점 범위(0–21) 밖 ",""),"")&amp;IF(AND(ISNUMBER(BF26),ISNUMBER(AN26)),IF(BF26&lt;&gt;AN26,"사후: 계산총점≠SPSS총점 ",""),"")&amp;IF(ISNUMBER(BJ26),IF(BJ26&lt;&gt;INT(BJ26),"사후 총점 정수 아님 ",""),"")&amp;IF(ISNUMBER(BJ26),IF(OR(BJ26&lt;0,BJ26&gt;21),"사후 총점 범위(0–21) 밖 ",""),"")&amp;IF(C26=1,IF(OR(NOT(ISNUMBER(BI26)),NOT(ISNUMBER(BJ26))),"분석포함인데 FMS 결측 ",""),"")))</f>
        <v/>
      </c>
    </row>
    <row r="27">
      <c r="A27" s="40" t="n"/>
      <c r="B27" s="50">
        <f>IF($A27="","",IFERROR(IF(INDEX('대상자_VO2max'!$B$4:$B$33,MATCH($A27,'대상자_VO2max'!$A$4:$A$33,0))="","",INDEX('대상자_VO2max'!$B$4:$B$33,MATCH($A27,'대상자_VO2max'!$A$4:$A$33,0))),"ID없음"))</f>
        <v/>
      </c>
      <c r="C27" s="50">
        <f>IF(ISNUMBER(D27),D27,IF($A27="","",IFERROR(IF(INDEX('대상자_VO2max'!$D$4:$D$33,MATCH($A27,'대상자_VO2max'!$A$4:$A$33,0))="","",INDEX('대상자_VO2max'!$D$4:$D$33,MATCH($A27,'대상자_VO2max'!$A$4:$A$33,0))),"ID없음")))</f>
        <v/>
      </c>
      <c r="D27" s="41" t="n"/>
      <c r="E27" s="40" t="n"/>
      <c r="F27" s="46" t="n"/>
      <c r="G27" s="41" t="n"/>
      <c r="H27" s="41" t="n"/>
      <c r="I27" s="41" t="n"/>
      <c r="J27" s="41" t="n"/>
      <c r="K27" s="41" t="n"/>
      <c r="L27" s="41" t="n"/>
      <c r="M27" s="41" t="n"/>
      <c r="N27" s="41" t="n"/>
      <c r="O27" s="41" t="n"/>
      <c r="P27" s="41" t="n"/>
      <c r="Q27" s="41" t="n"/>
      <c r="R27" s="41" t="n"/>
      <c r="S27" s="41" t="n"/>
      <c r="T27" s="41" t="n"/>
      <c r="U27" s="41" t="n"/>
      <c r="V27" s="45" t="n"/>
      <c r="W27" s="40" t="n"/>
      <c r="X27" s="46" t="n"/>
      <c r="Y27" s="41" t="n"/>
      <c r="Z27" s="41" t="n"/>
      <c r="AA27" s="41" t="n"/>
      <c r="AB27" s="41" t="n"/>
      <c r="AC27" s="41" t="n"/>
      <c r="AD27" s="41" t="n"/>
      <c r="AE27" s="41" t="n"/>
      <c r="AF27" s="41" t="n"/>
      <c r="AG27" s="41" t="n"/>
      <c r="AH27" s="41" t="n"/>
      <c r="AI27" s="41" t="n"/>
      <c r="AJ27" s="41" t="n"/>
      <c r="AK27" s="41" t="n"/>
      <c r="AL27" s="41" t="n"/>
      <c r="AM27" s="41" t="n"/>
      <c r="AN27" s="45" t="n"/>
      <c r="AO27" s="50">
        <f>IF(ISNUMBER(G27),G27,"")</f>
        <v/>
      </c>
      <c r="AP27" s="50">
        <f>IF(AND(ISNUMBER(H27),ISNUMBER(I27)),MIN(H27,I27),"")</f>
        <v/>
      </c>
      <c r="AQ27" s="50">
        <f>IF(AND(ISNUMBER(J27),ISNUMBER(K27)),MIN(J27,K27),"")</f>
        <v/>
      </c>
      <c r="AR27" s="50">
        <f>IF(AND(ISNUMBER(L27),ISNUMBER(M27)),IF(N27=1,0,MIN(L27,M27)),"")</f>
        <v/>
      </c>
      <c r="AS27" s="50">
        <f>IF(AND(ISNUMBER(O27),ISNUMBER(P27)),MIN(O27,P27),"")</f>
        <v/>
      </c>
      <c r="AT27" s="50">
        <f>IF(ISNUMBER(Q27),IF(R27=1,0,Q27),"")</f>
        <v/>
      </c>
      <c r="AU27" s="50">
        <f>IF(AND(ISNUMBER(S27),ISNUMBER(T27)),IF(U27=1,0,MIN(S27,T27)),"")</f>
        <v/>
      </c>
      <c r="AV27" s="50">
        <f>IF(COUNT(AO27:AU27)=7,SUM(AO27:AU27),"")</f>
        <v/>
      </c>
      <c r="AW27" s="50">
        <f>IF(ISNUMBER(AV27),--(H27&lt;&gt;I27)+--(J27&lt;&gt;K27)+--(L27&lt;&gt;M27)+--(O27&lt;&gt;P27)+--(S27&lt;&gt;T27),"")</f>
        <v/>
      </c>
      <c r="AX27" s="50">
        <f>IF(ISNUMBER(AV27),COUNT(N27,R27,U27),"")</f>
        <v/>
      </c>
      <c r="AY27" s="50">
        <f>IF(ISNUMBER(Y27),Y27,"")</f>
        <v/>
      </c>
      <c r="AZ27" s="50">
        <f>IF(AND(ISNUMBER(Z27),ISNUMBER(AA27)),MIN(Z27,AA27),"")</f>
        <v/>
      </c>
      <c r="BA27" s="50">
        <f>IF(AND(ISNUMBER(AB27),ISNUMBER(AC27)),MIN(AB27,AC27),"")</f>
        <v/>
      </c>
      <c r="BB27" s="50">
        <f>IF(AND(ISNUMBER(AD27),ISNUMBER(AE27)),IF(AF27=1,0,MIN(AD27,AE27)),"")</f>
        <v/>
      </c>
      <c r="BC27" s="50">
        <f>IF(AND(ISNUMBER(AG27),ISNUMBER(AH27)),MIN(AG27,AH27),"")</f>
        <v/>
      </c>
      <c r="BD27" s="50">
        <f>IF(ISNUMBER(AI27),IF(AJ27=1,0,AI27),"")</f>
        <v/>
      </c>
      <c r="BE27" s="50">
        <f>IF(AND(ISNUMBER(AK27),ISNUMBER(AL27)),IF(AM27=1,0,MIN(AK27,AL27)),"")</f>
        <v/>
      </c>
      <c r="BF27" s="50">
        <f>IF(COUNT(AY27:BE27)=7,SUM(AY27:BE27),"")</f>
        <v/>
      </c>
      <c r="BG27" s="50">
        <f>IF(ISNUMBER(BF27),--(Z27&lt;&gt;AA27)+--(AB27&lt;&gt;AC27)+--(AD27&lt;&gt;AE27)+--(AG27&lt;&gt;AH27)+--(AK27&lt;&gt;AL27),"")</f>
        <v/>
      </c>
      <c r="BH27" s="50">
        <f>IF(ISNUMBER(BF27),COUNT(AF27,AJ27,AM27),"")</f>
        <v/>
      </c>
      <c r="BI27" s="47">
        <f>IF(ISNUMBER(AV27),AV27,IF(ISNUMBER(V27),V27,""))</f>
        <v/>
      </c>
      <c r="BJ27" s="47">
        <f>IF(ISNUMBER(BF27),BF27,IF(ISNUMBER(AN27),AN27,""))</f>
        <v/>
      </c>
      <c r="BK27" s="47">
        <f>IF(AND(ISNUMBER(BI27),ISNUMBER(BJ27)),BJ27-BI27,"")</f>
        <v/>
      </c>
      <c r="BL27" s="42">
        <f>IF(ISNUMBER(AV27),"하위항목",IF(ISNUMBER(V27),"SPSS총점",""))</f>
        <v/>
      </c>
      <c r="BM27" s="42">
        <f>IF(ISNUMBER(BF27),"하위항목",IF(ISNUMBER(AN27),"SPSS총점",""))</f>
        <v/>
      </c>
      <c r="BN27" s="50">
        <f>IF($A27="","",IFERROR(IF(ISNUMBER(INDEX('FMS_평가자2'!$AP$4:$AP$33,MATCH($A27,'FMS_평가자2'!$A$4:$A$33,0))),INDEX('FMS_평가자2'!$AP$4:$AP$33,MATCH($A27,'FMS_평가자2'!$A$4:$A$33,0)),""),""))</f>
        <v/>
      </c>
      <c r="BO27" s="50">
        <f>IF($A27="","",IFERROR(IF(ISNUMBER(INDEX('FMS_평가자2'!$AY$4:$AY$33,MATCH($A27,'FMS_평가자2'!$A$4:$A$33,0))),INDEX('FMS_평가자2'!$AY$4:$AY$33,MATCH($A27,'FMS_평가자2'!$A$4:$A$33,0)),""),""))</f>
        <v/>
      </c>
      <c r="BP27" s="47">
        <f>IF(AND(ISNUMBER(AV27),ISNUMBER(BN27)),(AV27+BN27)/2,"")</f>
        <v/>
      </c>
      <c r="BQ27" s="47">
        <f>IF(AND(ISNUMBER(BF27),ISNUMBER(BO27)),(BF27+BO27)/2,"")</f>
        <v/>
      </c>
      <c r="BR27" s="47">
        <f>IF(AND(ISNUMBER(BP27),ISNUMBER(BQ27)),BQ27-BP27,"")</f>
        <v/>
      </c>
      <c r="BS27" s="51">
        <f>IF(A27="","",TRIM(IF(B27="ID없음","대상자_VO2max 시트에 없는 ID ","")&amp;IF(LEN(A27)&lt;&gt;LEN(TRIM(A27)),"ID 앞뒤 공백 ","")&amp;IF(COUNTIF($A$4:$A$33,A27)&gt;1,"ID 중복 ","")&amp;IF(AND(B27&lt;&gt;"ID없음",OR(B27="",AND(B27&lt;&gt;1,B27&lt;&gt;2))),"집단 코드 확인(대상자 시트) ","")&amp;IF(AND(B27&lt;&gt;"ID없음",OR(C27="",AND(C27&lt;&gt;0,C27&lt;&gt;1))),"분석포함 코드 확인 ","")&amp;IF(AND(COUNT(G27,H27,I27,J27,K27,L27,M27,O27,P27,Q27,S27,T27)&gt;0,COUNT(G27,H27,I27,J27,K27,L27,M27,O27,P27,Q27,S27,T27)&lt;12),"사전 동작점수 일부 빈칸 ","")&amp;IF(AND(COUNT(Y27,Z27,AA27,AB27,AC27,AD27,AE27,AG27,AH27,AI27,AK27,AL27)&gt;0,COUNT(Y27,Z27,AA27,AB27,AC27,AD27,AE27,AG27,AH27,AI27,AK27,AL27)&lt;12),"사후 동작점수 일부 빈칸 ","")&amp;IF(AND(V27&lt;&gt;"",NOT(ISNUMBER(V27))),"사전 SPSS총점 숫자 아님 ","")&amp;IF(AND(AN27&lt;&gt;"",NOT(ISNUMBER(AN27))),"사후 SPSS총점 숫자 아님 ","")&amp;IF(AND(ISNUMBER(AV27),ISNUMBER(V27)),IF(AV27&lt;&gt;V27,"사전: 계산총점≠SPSS총점 ",""),"")&amp;IF(ISNUMBER(BI27),IF(BI27&lt;&gt;INT(BI27),"사전 총점 정수 아님 ",""),"")&amp;IF(ISNUMBER(BI27),IF(OR(BI27&lt;0,BI27&gt;21),"사전 총점 범위(0–21) 밖 ",""),"")&amp;IF(AND(ISNUMBER(BF27),ISNUMBER(AN27)),IF(BF27&lt;&gt;AN27,"사후: 계산총점≠SPSS총점 ",""),"")&amp;IF(ISNUMBER(BJ27),IF(BJ27&lt;&gt;INT(BJ27),"사후 총점 정수 아님 ",""),"")&amp;IF(ISNUMBER(BJ27),IF(OR(BJ27&lt;0,BJ27&gt;21),"사후 총점 범위(0–21) 밖 ",""),"")&amp;IF(C27=1,IF(OR(NOT(ISNUMBER(BI27)),NOT(ISNUMBER(BJ27))),"분석포함인데 FMS 결측 ",""),"")))</f>
        <v/>
      </c>
    </row>
    <row r="28">
      <c r="A28" s="40" t="n"/>
      <c r="B28" s="50">
        <f>IF($A28="","",IFERROR(IF(INDEX('대상자_VO2max'!$B$4:$B$33,MATCH($A28,'대상자_VO2max'!$A$4:$A$33,0))="","",INDEX('대상자_VO2max'!$B$4:$B$33,MATCH($A28,'대상자_VO2max'!$A$4:$A$33,0))),"ID없음"))</f>
        <v/>
      </c>
      <c r="C28" s="50">
        <f>IF(ISNUMBER(D28),D28,IF($A28="","",IFERROR(IF(INDEX('대상자_VO2max'!$D$4:$D$33,MATCH($A28,'대상자_VO2max'!$A$4:$A$33,0))="","",INDEX('대상자_VO2max'!$D$4:$D$33,MATCH($A28,'대상자_VO2max'!$A$4:$A$33,0))),"ID없음")))</f>
        <v/>
      </c>
      <c r="D28" s="41" t="n"/>
      <c r="E28" s="40" t="n"/>
      <c r="F28" s="46" t="n"/>
      <c r="G28" s="41" t="n"/>
      <c r="H28" s="41" t="n"/>
      <c r="I28" s="41" t="n"/>
      <c r="J28" s="41" t="n"/>
      <c r="K28" s="41" t="n"/>
      <c r="L28" s="41" t="n"/>
      <c r="M28" s="41" t="n"/>
      <c r="N28" s="41" t="n"/>
      <c r="O28" s="41" t="n"/>
      <c r="P28" s="41" t="n"/>
      <c r="Q28" s="41" t="n"/>
      <c r="R28" s="41" t="n"/>
      <c r="S28" s="41" t="n"/>
      <c r="T28" s="41" t="n"/>
      <c r="U28" s="41" t="n"/>
      <c r="V28" s="45" t="n"/>
      <c r="W28" s="40" t="n"/>
      <c r="X28" s="46" t="n"/>
      <c r="Y28" s="41" t="n"/>
      <c r="Z28" s="41" t="n"/>
      <c r="AA28" s="41" t="n"/>
      <c r="AB28" s="41" t="n"/>
      <c r="AC28" s="41" t="n"/>
      <c r="AD28" s="41" t="n"/>
      <c r="AE28" s="41" t="n"/>
      <c r="AF28" s="41" t="n"/>
      <c r="AG28" s="41" t="n"/>
      <c r="AH28" s="41" t="n"/>
      <c r="AI28" s="41" t="n"/>
      <c r="AJ28" s="41" t="n"/>
      <c r="AK28" s="41" t="n"/>
      <c r="AL28" s="41" t="n"/>
      <c r="AM28" s="41" t="n"/>
      <c r="AN28" s="45" t="n"/>
      <c r="AO28" s="50">
        <f>IF(ISNUMBER(G28),G28,"")</f>
        <v/>
      </c>
      <c r="AP28" s="50">
        <f>IF(AND(ISNUMBER(H28),ISNUMBER(I28)),MIN(H28,I28),"")</f>
        <v/>
      </c>
      <c r="AQ28" s="50">
        <f>IF(AND(ISNUMBER(J28),ISNUMBER(K28)),MIN(J28,K28),"")</f>
        <v/>
      </c>
      <c r="AR28" s="50">
        <f>IF(AND(ISNUMBER(L28),ISNUMBER(M28)),IF(N28=1,0,MIN(L28,M28)),"")</f>
        <v/>
      </c>
      <c r="AS28" s="50">
        <f>IF(AND(ISNUMBER(O28),ISNUMBER(P28)),MIN(O28,P28),"")</f>
        <v/>
      </c>
      <c r="AT28" s="50">
        <f>IF(ISNUMBER(Q28),IF(R28=1,0,Q28),"")</f>
        <v/>
      </c>
      <c r="AU28" s="50">
        <f>IF(AND(ISNUMBER(S28),ISNUMBER(T28)),IF(U28=1,0,MIN(S28,T28)),"")</f>
        <v/>
      </c>
      <c r="AV28" s="50">
        <f>IF(COUNT(AO28:AU28)=7,SUM(AO28:AU28),"")</f>
        <v/>
      </c>
      <c r="AW28" s="50">
        <f>IF(ISNUMBER(AV28),--(H28&lt;&gt;I28)+--(J28&lt;&gt;K28)+--(L28&lt;&gt;M28)+--(O28&lt;&gt;P28)+--(S28&lt;&gt;T28),"")</f>
        <v/>
      </c>
      <c r="AX28" s="50">
        <f>IF(ISNUMBER(AV28),COUNT(N28,R28,U28),"")</f>
        <v/>
      </c>
      <c r="AY28" s="50">
        <f>IF(ISNUMBER(Y28),Y28,"")</f>
        <v/>
      </c>
      <c r="AZ28" s="50">
        <f>IF(AND(ISNUMBER(Z28),ISNUMBER(AA28)),MIN(Z28,AA28),"")</f>
        <v/>
      </c>
      <c r="BA28" s="50">
        <f>IF(AND(ISNUMBER(AB28),ISNUMBER(AC28)),MIN(AB28,AC28),"")</f>
        <v/>
      </c>
      <c r="BB28" s="50">
        <f>IF(AND(ISNUMBER(AD28),ISNUMBER(AE28)),IF(AF28=1,0,MIN(AD28,AE28)),"")</f>
        <v/>
      </c>
      <c r="BC28" s="50">
        <f>IF(AND(ISNUMBER(AG28),ISNUMBER(AH28)),MIN(AG28,AH28),"")</f>
        <v/>
      </c>
      <c r="BD28" s="50">
        <f>IF(ISNUMBER(AI28),IF(AJ28=1,0,AI28),"")</f>
        <v/>
      </c>
      <c r="BE28" s="50">
        <f>IF(AND(ISNUMBER(AK28),ISNUMBER(AL28)),IF(AM28=1,0,MIN(AK28,AL28)),"")</f>
        <v/>
      </c>
      <c r="BF28" s="50">
        <f>IF(COUNT(AY28:BE28)=7,SUM(AY28:BE28),"")</f>
        <v/>
      </c>
      <c r="BG28" s="50">
        <f>IF(ISNUMBER(BF28),--(Z28&lt;&gt;AA28)+--(AB28&lt;&gt;AC28)+--(AD28&lt;&gt;AE28)+--(AG28&lt;&gt;AH28)+--(AK28&lt;&gt;AL28),"")</f>
        <v/>
      </c>
      <c r="BH28" s="50">
        <f>IF(ISNUMBER(BF28),COUNT(AF28,AJ28,AM28),"")</f>
        <v/>
      </c>
      <c r="BI28" s="47">
        <f>IF(ISNUMBER(AV28),AV28,IF(ISNUMBER(V28),V28,""))</f>
        <v/>
      </c>
      <c r="BJ28" s="47">
        <f>IF(ISNUMBER(BF28),BF28,IF(ISNUMBER(AN28),AN28,""))</f>
        <v/>
      </c>
      <c r="BK28" s="47">
        <f>IF(AND(ISNUMBER(BI28),ISNUMBER(BJ28)),BJ28-BI28,"")</f>
        <v/>
      </c>
      <c r="BL28" s="42">
        <f>IF(ISNUMBER(AV28),"하위항목",IF(ISNUMBER(V28),"SPSS총점",""))</f>
        <v/>
      </c>
      <c r="BM28" s="42">
        <f>IF(ISNUMBER(BF28),"하위항목",IF(ISNUMBER(AN28),"SPSS총점",""))</f>
        <v/>
      </c>
      <c r="BN28" s="50">
        <f>IF($A28="","",IFERROR(IF(ISNUMBER(INDEX('FMS_평가자2'!$AP$4:$AP$33,MATCH($A28,'FMS_평가자2'!$A$4:$A$33,0))),INDEX('FMS_평가자2'!$AP$4:$AP$33,MATCH($A28,'FMS_평가자2'!$A$4:$A$33,0)),""),""))</f>
        <v/>
      </c>
      <c r="BO28" s="50">
        <f>IF($A28="","",IFERROR(IF(ISNUMBER(INDEX('FMS_평가자2'!$AY$4:$AY$33,MATCH($A28,'FMS_평가자2'!$A$4:$A$33,0))),INDEX('FMS_평가자2'!$AY$4:$AY$33,MATCH($A28,'FMS_평가자2'!$A$4:$A$33,0)),""),""))</f>
        <v/>
      </c>
      <c r="BP28" s="47">
        <f>IF(AND(ISNUMBER(AV28),ISNUMBER(BN28)),(AV28+BN28)/2,"")</f>
        <v/>
      </c>
      <c r="BQ28" s="47">
        <f>IF(AND(ISNUMBER(BF28),ISNUMBER(BO28)),(BF28+BO28)/2,"")</f>
        <v/>
      </c>
      <c r="BR28" s="47">
        <f>IF(AND(ISNUMBER(BP28),ISNUMBER(BQ28)),BQ28-BP28,"")</f>
        <v/>
      </c>
      <c r="BS28" s="51">
        <f>IF(A28="","",TRIM(IF(B28="ID없음","대상자_VO2max 시트에 없는 ID ","")&amp;IF(LEN(A28)&lt;&gt;LEN(TRIM(A28)),"ID 앞뒤 공백 ","")&amp;IF(COUNTIF($A$4:$A$33,A28)&gt;1,"ID 중복 ","")&amp;IF(AND(B28&lt;&gt;"ID없음",OR(B28="",AND(B28&lt;&gt;1,B28&lt;&gt;2))),"집단 코드 확인(대상자 시트) ","")&amp;IF(AND(B28&lt;&gt;"ID없음",OR(C28="",AND(C28&lt;&gt;0,C28&lt;&gt;1))),"분석포함 코드 확인 ","")&amp;IF(AND(COUNT(G28,H28,I28,J28,K28,L28,M28,O28,P28,Q28,S28,T28)&gt;0,COUNT(G28,H28,I28,J28,K28,L28,M28,O28,P28,Q28,S28,T28)&lt;12),"사전 동작점수 일부 빈칸 ","")&amp;IF(AND(COUNT(Y28,Z28,AA28,AB28,AC28,AD28,AE28,AG28,AH28,AI28,AK28,AL28)&gt;0,COUNT(Y28,Z28,AA28,AB28,AC28,AD28,AE28,AG28,AH28,AI28,AK28,AL28)&lt;12),"사후 동작점수 일부 빈칸 ","")&amp;IF(AND(V28&lt;&gt;"",NOT(ISNUMBER(V28))),"사전 SPSS총점 숫자 아님 ","")&amp;IF(AND(AN28&lt;&gt;"",NOT(ISNUMBER(AN28))),"사후 SPSS총점 숫자 아님 ","")&amp;IF(AND(ISNUMBER(AV28),ISNUMBER(V28)),IF(AV28&lt;&gt;V28,"사전: 계산총점≠SPSS총점 ",""),"")&amp;IF(ISNUMBER(BI28),IF(BI28&lt;&gt;INT(BI28),"사전 총점 정수 아님 ",""),"")&amp;IF(ISNUMBER(BI28),IF(OR(BI28&lt;0,BI28&gt;21),"사전 총점 범위(0–21) 밖 ",""),"")&amp;IF(AND(ISNUMBER(BF28),ISNUMBER(AN28)),IF(BF28&lt;&gt;AN28,"사후: 계산총점≠SPSS총점 ",""),"")&amp;IF(ISNUMBER(BJ28),IF(BJ28&lt;&gt;INT(BJ28),"사후 총점 정수 아님 ",""),"")&amp;IF(ISNUMBER(BJ28),IF(OR(BJ28&lt;0,BJ28&gt;21),"사후 총점 범위(0–21) 밖 ",""),"")&amp;IF(C28=1,IF(OR(NOT(ISNUMBER(BI28)),NOT(ISNUMBER(BJ28))),"분석포함인데 FMS 결측 ",""),"")))</f>
        <v/>
      </c>
    </row>
    <row r="29">
      <c r="A29" s="40" t="n"/>
      <c r="B29" s="50">
        <f>IF($A29="","",IFERROR(IF(INDEX('대상자_VO2max'!$B$4:$B$33,MATCH($A29,'대상자_VO2max'!$A$4:$A$33,0))="","",INDEX('대상자_VO2max'!$B$4:$B$33,MATCH($A29,'대상자_VO2max'!$A$4:$A$33,0))),"ID없음"))</f>
        <v/>
      </c>
      <c r="C29" s="50">
        <f>IF(ISNUMBER(D29),D29,IF($A29="","",IFERROR(IF(INDEX('대상자_VO2max'!$D$4:$D$33,MATCH($A29,'대상자_VO2max'!$A$4:$A$33,0))="","",INDEX('대상자_VO2max'!$D$4:$D$33,MATCH($A29,'대상자_VO2max'!$A$4:$A$33,0))),"ID없음")))</f>
        <v/>
      </c>
      <c r="D29" s="41" t="n"/>
      <c r="E29" s="40" t="n"/>
      <c r="F29" s="46" t="n"/>
      <c r="G29" s="41" t="n"/>
      <c r="H29" s="41" t="n"/>
      <c r="I29" s="41" t="n"/>
      <c r="J29" s="41" t="n"/>
      <c r="K29" s="41" t="n"/>
      <c r="L29" s="41" t="n"/>
      <c r="M29" s="41" t="n"/>
      <c r="N29" s="41" t="n"/>
      <c r="O29" s="41" t="n"/>
      <c r="P29" s="41" t="n"/>
      <c r="Q29" s="41" t="n"/>
      <c r="R29" s="41" t="n"/>
      <c r="S29" s="41" t="n"/>
      <c r="T29" s="41" t="n"/>
      <c r="U29" s="41" t="n"/>
      <c r="V29" s="45" t="n"/>
      <c r="W29" s="40" t="n"/>
      <c r="X29" s="46" t="n"/>
      <c r="Y29" s="41" t="n"/>
      <c r="Z29" s="41" t="n"/>
      <c r="AA29" s="41" t="n"/>
      <c r="AB29" s="41" t="n"/>
      <c r="AC29" s="41" t="n"/>
      <c r="AD29" s="41" t="n"/>
      <c r="AE29" s="41" t="n"/>
      <c r="AF29" s="41" t="n"/>
      <c r="AG29" s="41" t="n"/>
      <c r="AH29" s="41" t="n"/>
      <c r="AI29" s="41" t="n"/>
      <c r="AJ29" s="41" t="n"/>
      <c r="AK29" s="41" t="n"/>
      <c r="AL29" s="41" t="n"/>
      <c r="AM29" s="41" t="n"/>
      <c r="AN29" s="45" t="n"/>
      <c r="AO29" s="50">
        <f>IF(ISNUMBER(G29),G29,"")</f>
        <v/>
      </c>
      <c r="AP29" s="50">
        <f>IF(AND(ISNUMBER(H29),ISNUMBER(I29)),MIN(H29,I29),"")</f>
        <v/>
      </c>
      <c r="AQ29" s="50">
        <f>IF(AND(ISNUMBER(J29),ISNUMBER(K29)),MIN(J29,K29),"")</f>
        <v/>
      </c>
      <c r="AR29" s="50">
        <f>IF(AND(ISNUMBER(L29),ISNUMBER(M29)),IF(N29=1,0,MIN(L29,M29)),"")</f>
        <v/>
      </c>
      <c r="AS29" s="50">
        <f>IF(AND(ISNUMBER(O29),ISNUMBER(P29)),MIN(O29,P29),"")</f>
        <v/>
      </c>
      <c r="AT29" s="50">
        <f>IF(ISNUMBER(Q29),IF(R29=1,0,Q29),"")</f>
        <v/>
      </c>
      <c r="AU29" s="50">
        <f>IF(AND(ISNUMBER(S29),ISNUMBER(T29)),IF(U29=1,0,MIN(S29,T29)),"")</f>
        <v/>
      </c>
      <c r="AV29" s="50">
        <f>IF(COUNT(AO29:AU29)=7,SUM(AO29:AU29),"")</f>
        <v/>
      </c>
      <c r="AW29" s="50">
        <f>IF(ISNUMBER(AV29),--(H29&lt;&gt;I29)+--(J29&lt;&gt;K29)+--(L29&lt;&gt;M29)+--(O29&lt;&gt;P29)+--(S29&lt;&gt;T29),"")</f>
        <v/>
      </c>
      <c r="AX29" s="50">
        <f>IF(ISNUMBER(AV29),COUNT(N29,R29,U29),"")</f>
        <v/>
      </c>
      <c r="AY29" s="50">
        <f>IF(ISNUMBER(Y29),Y29,"")</f>
        <v/>
      </c>
      <c r="AZ29" s="50">
        <f>IF(AND(ISNUMBER(Z29),ISNUMBER(AA29)),MIN(Z29,AA29),"")</f>
        <v/>
      </c>
      <c r="BA29" s="50">
        <f>IF(AND(ISNUMBER(AB29),ISNUMBER(AC29)),MIN(AB29,AC29),"")</f>
        <v/>
      </c>
      <c r="BB29" s="50">
        <f>IF(AND(ISNUMBER(AD29),ISNUMBER(AE29)),IF(AF29=1,0,MIN(AD29,AE29)),"")</f>
        <v/>
      </c>
      <c r="BC29" s="50">
        <f>IF(AND(ISNUMBER(AG29),ISNUMBER(AH29)),MIN(AG29,AH29),"")</f>
        <v/>
      </c>
      <c r="BD29" s="50">
        <f>IF(ISNUMBER(AI29),IF(AJ29=1,0,AI29),"")</f>
        <v/>
      </c>
      <c r="BE29" s="50">
        <f>IF(AND(ISNUMBER(AK29),ISNUMBER(AL29)),IF(AM29=1,0,MIN(AK29,AL29)),"")</f>
        <v/>
      </c>
      <c r="BF29" s="50">
        <f>IF(COUNT(AY29:BE29)=7,SUM(AY29:BE29),"")</f>
        <v/>
      </c>
      <c r="BG29" s="50">
        <f>IF(ISNUMBER(BF29),--(Z29&lt;&gt;AA29)+--(AB29&lt;&gt;AC29)+--(AD29&lt;&gt;AE29)+--(AG29&lt;&gt;AH29)+--(AK29&lt;&gt;AL29),"")</f>
        <v/>
      </c>
      <c r="BH29" s="50">
        <f>IF(ISNUMBER(BF29),COUNT(AF29,AJ29,AM29),"")</f>
        <v/>
      </c>
      <c r="BI29" s="47">
        <f>IF(ISNUMBER(AV29),AV29,IF(ISNUMBER(V29),V29,""))</f>
        <v/>
      </c>
      <c r="BJ29" s="47">
        <f>IF(ISNUMBER(BF29),BF29,IF(ISNUMBER(AN29),AN29,""))</f>
        <v/>
      </c>
      <c r="BK29" s="47">
        <f>IF(AND(ISNUMBER(BI29),ISNUMBER(BJ29)),BJ29-BI29,"")</f>
        <v/>
      </c>
      <c r="BL29" s="42">
        <f>IF(ISNUMBER(AV29),"하위항목",IF(ISNUMBER(V29),"SPSS총점",""))</f>
        <v/>
      </c>
      <c r="BM29" s="42">
        <f>IF(ISNUMBER(BF29),"하위항목",IF(ISNUMBER(AN29),"SPSS총점",""))</f>
        <v/>
      </c>
      <c r="BN29" s="50">
        <f>IF($A29="","",IFERROR(IF(ISNUMBER(INDEX('FMS_평가자2'!$AP$4:$AP$33,MATCH($A29,'FMS_평가자2'!$A$4:$A$33,0))),INDEX('FMS_평가자2'!$AP$4:$AP$33,MATCH($A29,'FMS_평가자2'!$A$4:$A$33,0)),""),""))</f>
        <v/>
      </c>
      <c r="BO29" s="50">
        <f>IF($A29="","",IFERROR(IF(ISNUMBER(INDEX('FMS_평가자2'!$AY$4:$AY$33,MATCH($A29,'FMS_평가자2'!$A$4:$A$33,0))),INDEX('FMS_평가자2'!$AY$4:$AY$33,MATCH($A29,'FMS_평가자2'!$A$4:$A$33,0)),""),""))</f>
        <v/>
      </c>
      <c r="BP29" s="47">
        <f>IF(AND(ISNUMBER(AV29),ISNUMBER(BN29)),(AV29+BN29)/2,"")</f>
        <v/>
      </c>
      <c r="BQ29" s="47">
        <f>IF(AND(ISNUMBER(BF29),ISNUMBER(BO29)),(BF29+BO29)/2,"")</f>
        <v/>
      </c>
      <c r="BR29" s="47">
        <f>IF(AND(ISNUMBER(BP29),ISNUMBER(BQ29)),BQ29-BP29,"")</f>
        <v/>
      </c>
      <c r="BS29" s="51">
        <f>IF(A29="","",TRIM(IF(B29="ID없음","대상자_VO2max 시트에 없는 ID ","")&amp;IF(LEN(A29)&lt;&gt;LEN(TRIM(A29)),"ID 앞뒤 공백 ","")&amp;IF(COUNTIF($A$4:$A$33,A29)&gt;1,"ID 중복 ","")&amp;IF(AND(B29&lt;&gt;"ID없음",OR(B29="",AND(B29&lt;&gt;1,B29&lt;&gt;2))),"집단 코드 확인(대상자 시트) ","")&amp;IF(AND(B29&lt;&gt;"ID없음",OR(C29="",AND(C29&lt;&gt;0,C29&lt;&gt;1))),"분석포함 코드 확인 ","")&amp;IF(AND(COUNT(G29,H29,I29,J29,K29,L29,M29,O29,P29,Q29,S29,T29)&gt;0,COUNT(G29,H29,I29,J29,K29,L29,M29,O29,P29,Q29,S29,T29)&lt;12),"사전 동작점수 일부 빈칸 ","")&amp;IF(AND(COUNT(Y29,Z29,AA29,AB29,AC29,AD29,AE29,AG29,AH29,AI29,AK29,AL29)&gt;0,COUNT(Y29,Z29,AA29,AB29,AC29,AD29,AE29,AG29,AH29,AI29,AK29,AL29)&lt;12),"사후 동작점수 일부 빈칸 ","")&amp;IF(AND(V29&lt;&gt;"",NOT(ISNUMBER(V29))),"사전 SPSS총점 숫자 아님 ","")&amp;IF(AND(AN29&lt;&gt;"",NOT(ISNUMBER(AN29))),"사후 SPSS총점 숫자 아님 ","")&amp;IF(AND(ISNUMBER(AV29),ISNUMBER(V29)),IF(AV29&lt;&gt;V29,"사전: 계산총점≠SPSS총점 ",""),"")&amp;IF(ISNUMBER(BI29),IF(BI29&lt;&gt;INT(BI29),"사전 총점 정수 아님 ",""),"")&amp;IF(ISNUMBER(BI29),IF(OR(BI29&lt;0,BI29&gt;21),"사전 총점 범위(0–21) 밖 ",""),"")&amp;IF(AND(ISNUMBER(BF29),ISNUMBER(AN29)),IF(BF29&lt;&gt;AN29,"사후: 계산총점≠SPSS총점 ",""),"")&amp;IF(ISNUMBER(BJ29),IF(BJ29&lt;&gt;INT(BJ29),"사후 총점 정수 아님 ",""),"")&amp;IF(ISNUMBER(BJ29),IF(OR(BJ29&lt;0,BJ29&gt;21),"사후 총점 범위(0–21) 밖 ",""),"")&amp;IF(C29=1,IF(OR(NOT(ISNUMBER(BI29)),NOT(ISNUMBER(BJ29))),"분석포함인데 FMS 결측 ",""),"")))</f>
        <v/>
      </c>
    </row>
    <row r="30">
      <c r="A30" s="40" t="n"/>
      <c r="B30" s="50">
        <f>IF($A30="","",IFERROR(IF(INDEX('대상자_VO2max'!$B$4:$B$33,MATCH($A30,'대상자_VO2max'!$A$4:$A$33,0))="","",INDEX('대상자_VO2max'!$B$4:$B$33,MATCH($A30,'대상자_VO2max'!$A$4:$A$33,0))),"ID없음"))</f>
        <v/>
      </c>
      <c r="C30" s="50">
        <f>IF(ISNUMBER(D30),D30,IF($A30="","",IFERROR(IF(INDEX('대상자_VO2max'!$D$4:$D$33,MATCH($A30,'대상자_VO2max'!$A$4:$A$33,0))="","",INDEX('대상자_VO2max'!$D$4:$D$33,MATCH($A30,'대상자_VO2max'!$A$4:$A$33,0))),"ID없음")))</f>
        <v/>
      </c>
      <c r="D30" s="41" t="n"/>
      <c r="E30" s="40" t="n"/>
      <c r="F30" s="46" t="n"/>
      <c r="G30" s="41" t="n"/>
      <c r="H30" s="41" t="n"/>
      <c r="I30" s="41" t="n"/>
      <c r="J30" s="41" t="n"/>
      <c r="K30" s="41" t="n"/>
      <c r="L30" s="41" t="n"/>
      <c r="M30" s="41" t="n"/>
      <c r="N30" s="41" t="n"/>
      <c r="O30" s="41" t="n"/>
      <c r="P30" s="41" t="n"/>
      <c r="Q30" s="41" t="n"/>
      <c r="R30" s="41" t="n"/>
      <c r="S30" s="41" t="n"/>
      <c r="T30" s="41" t="n"/>
      <c r="U30" s="41" t="n"/>
      <c r="V30" s="45" t="n"/>
      <c r="W30" s="40" t="n"/>
      <c r="X30" s="46" t="n"/>
      <c r="Y30" s="41" t="n"/>
      <c r="Z30" s="41" t="n"/>
      <c r="AA30" s="41" t="n"/>
      <c r="AB30" s="41" t="n"/>
      <c r="AC30" s="41" t="n"/>
      <c r="AD30" s="41" t="n"/>
      <c r="AE30" s="41" t="n"/>
      <c r="AF30" s="41" t="n"/>
      <c r="AG30" s="41" t="n"/>
      <c r="AH30" s="41" t="n"/>
      <c r="AI30" s="41" t="n"/>
      <c r="AJ30" s="41" t="n"/>
      <c r="AK30" s="41" t="n"/>
      <c r="AL30" s="41" t="n"/>
      <c r="AM30" s="41" t="n"/>
      <c r="AN30" s="45" t="n"/>
      <c r="AO30" s="50">
        <f>IF(ISNUMBER(G30),G30,"")</f>
        <v/>
      </c>
      <c r="AP30" s="50">
        <f>IF(AND(ISNUMBER(H30),ISNUMBER(I30)),MIN(H30,I30),"")</f>
        <v/>
      </c>
      <c r="AQ30" s="50">
        <f>IF(AND(ISNUMBER(J30),ISNUMBER(K30)),MIN(J30,K30),"")</f>
        <v/>
      </c>
      <c r="AR30" s="50">
        <f>IF(AND(ISNUMBER(L30),ISNUMBER(M30)),IF(N30=1,0,MIN(L30,M30)),"")</f>
        <v/>
      </c>
      <c r="AS30" s="50">
        <f>IF(AND(ISNUMBER(O30),ISNUMBER(P30)),MIN(O30,P30),"")</f>
        <v/>
      </c>
      <c r="AT30" s="50">
        <f>IF(ISNUMBER(Q30),IF(R30=1,0,Q30),"")</f>
        <v/>
      </c>
      <c r="AU30" s="50">
        <f>IF(AND(ISNUMBER(S30),ISNUMBER(T30)),IF(U30=1,0,MIN(S30,T30)),"")</f>
        <v/>
      </c>
      <c r="AV30" s="50">
        <f>IF(COUNT(AO30:AU30)=7,SUM(AO30:AU30),"")</f>
        <v/>
      </c>
      <c r="AW30" s="50">
        <f>IF(ISNUMBER(AV30),--(H30&lt;&gt;I30)+--(J30&lt;&gt;K30)+--(L30&lt;&gt;M30)+--(O30&lt;&gt;P30)+--(S30&lt;&gt;T30),"")</f>
        <v/>
      </c>
      <c r="AX30" s="50">
        <f>IF(ISNUMBER(AV30),COUNT(N30,R30,U30),"")</f>
        <v/>
      </c>
      <c r="AY30" s="50">
        <f>IF(ISNUMBER(Y30),Y30,"")</f>
        <v/>
      </c>
      <c r="AZ30" s="50">
        <f>IF(AND(ISNUMBER(Z30),ISNUMBER(AA30)),MIN(Z30,AA30),"")</f>
        <v/>
      </c>
      <c r="BA30" s="50">
        <f>IF(AND(ISNUMBER(AB30),ISNUMBER(AC30)),MIN(AB30,AC30),"")</f>
        <v/>
      </c>
      <c r="BB30" s="50">
        <f>IF(AND(ISNUMBER(AD30),ISNUMBER(AE30)),IF(AF30=1,0,MIN(AD30,AE30)),"")</f>
        <v/>
      </c>
      <c r="BC30" s="50">
        <f>IF(AND(ISNUMBER(AG30),ISNUMBER(AH30)),MIN(AG30,AH30),"")</f>
        <v/>
      </c>
      <c r="BD30" s="50">
        <f>IF(ISNUMBER(AI30),IF(AJ30=1,0,AI30),"")</f>
        <v/>
      </c>
      <c r="BE30" s="50">
        <f>IF(AND(ISNUMBER(AK30),ISNUMBER(AL30)),IF(AM30=1,0,MIN(AK30,AL30)),"")</f>
        <v/>
      </c>
      <c r="BF30" s="50">
        <f>IF(COUNT(AY30:BE30)=7,SUM(AY30:BE30),"")</f>
        <v/>
      </c>
      <c r="BG30" s="50">
        <f>IF(ISNUMBER(BF30),--(Z30&lt;&gt;AA30)+--(AB30&lt;&gt;AC30)+--(AD30&lt;&gt;AE30)+--(AG30&lt;&gt;AH30)+--(AK30&lt;&gt;AL30),"")</f>
        <v/>
      </c>
      <c r="BH30" s="50">
        <f>IF(ISNUMBER(BF30),COUNT(AF30,AJ30,AM30),"")</f>
        <v/>
      </c>
      <c r="BI30" s="47">
        <f>IF(ISNUMBER(AV30),AV30,IF(ISNUMBER(V30),V30,""))</f>
        <v/>
      </c>
      <c r="BJ30" s="47">
        <f>IF(ISNUMBER(BF30),BF30,IF(ISNUMBER(AN30),AN30,""))</f>
        <v/>
      </c>
      <c r="BK30" s="47">
        <f>IF(AND(ISNUMBER(BI30),ISNUMBER(BJ30)),BJ30-BI30,"")</f>
        <v/>
      </c>
      <c r="BL30" s="42">
        <f>IF(ISNUMBER(AV30),"하위항목",IF(ISNUMBER(V30),"SPSS총점",""))</f>
        <v/>
      </c>
      <c r="BM30" s="42">
        <f>IF(ISNUMBER(BF30),"하위항목",IF(ISNUMBER(AN30),"SPSS총점",""))</f>
        <v/>
      </c>
      <c r="BN30" s="50">
        <f>IF($A30="","",IFERROR(IF(ISNUMBER(INDEX('FMS_평가자2'!$AP$4:$AP$33,MATCH($A30,'FMS_평가자2'!$A$4:$A$33,0))),INDEX('FMS_평가자2'!$AP$4:$AP$33,MATCH($A30,'FMS_평가자2'!$A$4:$A$33,0)),""),""))</f>
        <v/>
      </c>
      <c r="BO30" s="50">
        <f>IF($A30="","",IFERROR(IF(ISNUMBER(INDEX('FMS_평가자2'!$AY$4:$AY$33,MATCH($A30,'FMS_평가자2'!$A$4:$A$33,0))),INDEX('FMS_평가자2'!$AY$4:$AY$33,MATCH($A30,'FMS_평가자2'!$A$4:$A$33,0)),""),""))</f>
        <v/>
      </c>
      <c r="BP30" s="47">
        <f>IF(AND(ISNUMBER(AV30),ISNUMBER(BN30)),(AV30+BN30)/2,"")</f>
        <v/>
      </c>
      <c r="BQ30" s="47">
        <f>IF(AND(ISNUMBER(BF30),ISNUMBER(BO30)),(BF30+BO30)/2,"")</f>
        <v/>
      </c>
      <c r="BR30" s="47">
        <f>IF(AND(ISNUMBER(BP30),ISNUMBER(BQ30)),BQ30-BP30,"")</f>
        <v/>
      </c>
      <c r="BS30" s="51">
        <f>IF(A30="","",TRIM(IF(B30="ID없음","대상자_VO2max 시트에 없는 ID ","")&amp;IF(LEN(A30)&lt;&gt;LEN(TRIM(A30)),"ID 앞뒤 공백 ","")&amp;IF(COUNTIF($A$4:$A$33,A30)&gt;1,"ID 중복 ","")&amp;IF(AND(B30&lt;&gt;"ID없음",OR(B30="",AND(B30&lt;&gt;1,B30&lt;&gt;2))),"집단 코드 확인(대상자 시트) ","")&amp;IF(AND(B30&lt;&gt;"ID없음",OR(C30="",AND(C30&lt;&gt;0,C30&lt;&gt;1))),"분석포함 코드 확인 ","")&amp;IF(AND(COUNT(G30,H30,I30,J30,K30,L30,M30,O30,P30,Q30,S30,T30)&gt;0,COUNT(G30,H30,I30,J30,K30,L30,M30,O30,P30,Q30,S30,T30)&lt;12),"사전 동작점수 일부 빈칸 ","")&amp;IF(AND(COUNT(Y30,Z30,AA30,AB30,AC30,AD30,AE30,AG30,AH30,AI30,AK30,AL30)&gt;0,COUNT(Y30,Z30,AA30,AB30,AC30,AD30,AE30,AG30,AH30,AI30,AK30,AL30)&lt;12),"사후 동작점수 일부 빈칸 ","")&amp;IF(AND(V30&lt;&gt;"",NOT(ISNUMBER(V30))),"사전 SPSS총점 숫자 아님 ","")&amp;IF(AND(AN30&lt;&gt;"",NOT(ISNUMBER(AN30))),"사후 SPSS총점 숫자 아님 ","")&amp;IF(AND(ISNUMBER(AV30),ISNUMBER(V30)),IF(AV30&lt;&gt;V30,"사전: 계산총점≠SPSS총점 ",""),"")&amp;IF(ISNUMBER(BI30),IF(BI30&lt;&gt;INT(BI30),"사전 총점 정수 아님 ",""),"")&amp;IF(ISNUMBER(BI30),IF(OR(BI30&lt;0,BI30&gt;21),"사전 총점 범위(0–21) 밖 ",""),"")&amp;IF(AND(ISNUMBER(BF30),ISNUMBER(AN30)),IF(BF30&lt;&gt;AN30,"사후: 계산총점≠SPSS총점 ",""),"")&amp;IF(ISNUMBER(BJ30),IF(BJ30&lt;&gt;INT(BJ30),"사후 총점 정수 아님 ",""),"")&amp;IF(ISNUMBER(BJ30),IF(OR(BJ30&lt;0,BJ30&gt;21),"사후 총점 범위(0–21) 밖 ",""),"")&amp;IF(C30=1,IF(OR(NOT(ISNUMBER(BI30)),NOT(ISNUMBER(BJ30))),"분석포함인데 FMS 결측 ",""),"")))</f>
        <v/>
      </c>
    </row>
    <row r="31">
      <c r="A31" s="40" t="n"/>
      <c r="B31" s="50">
        <f>IF($A31="","",IFERROR(IF(INDEX('대상자_VO2max'!$B$4:$B$33,MATCH($A31,'대상자_VO2max'!$A$4:$A$33,0))="","",INDEX('대상자_VO2max'!$B$4:$B$33,MATCH($A31,'대상자_VO2max'!$A$4:$A$33,0))),"ID없음"))</f>
        <v/>
      </c>
      <c r="C31" s="50">
        <f>IF(ISNUMBER(D31),D31,IF($A31="","",IFERROR(IF(INDEX('대상자_VO2max'!$D$4:$D$33,MATCH($A31,'대상자_VO2max'!$A$4:$A$33,0))="","",INDEX('대상자_VO2max'!$D$4:$D$33,MATCH($A31,'대상자_VO2max'!$A$4:$A$33,0))),"ID없음")))</f>
        <v/>
      </c>
      <c r="D31" s="41" t="n"/>
      <c r="E31" s="40" t="n"/>
      <c r="F31" s="46" t="n"/>
      <c r="G31" s="41" t="n"/>
      <c r="H31" s="41" t="n"/>
      <c r="I31" s="41" t="n"/>
      <c r="J31" s="41" t="n"/>
      <c r="K31" s="41" t="n"/>
      <c r="L31" s="41" t="n"/>
      <c r="M31" s="41" t="n"/>
      <c r="N31" s="41" t="n"/>
      <c r="O31" s="41" t="n"/>
      <c r="P31" s="41" t="n"/>
      <c r="Q31" s="41" t="n"/>
      <c r="R31" s="41" t="n"/>
      <c r="S31" s="41" t="n"/>
      <c r="T31" s="41" t="n"/>
      <c r="U31" s="41" t="n"/>
      <c r="V31" s="45" t="n"/>
      <c r="W31" s="40" t="n"/>
      <c r="X31" s="46" t="n"/>
      <c r="Y31" s="41" t="n"/>
      <c r="Z31" s="41" t="n"/>
      <c r="AA31" s="41" t="n"/>
      <c r="AB31" s="41" t="n"/>
      <c r="AC31" s="41" t="n"/>
      <c r="AD31" s="41" t="n"/>
      <c r="AE31" s="41" t="n"/>
      <c r="AF31" s="41" t="n"/>
      <c r="AG31" s="41" t="n"/>
      <c r="AH31" s="41" t="n"/>
      <c r="AI31" s="41" t="n"/>
      <c r="AJ31" s="41" t="n"/>
      <c r="AK31" s="41" t="n"/>
      <c r="AL31" s="41" t="n"/>
      <c r="AM31" s="41" t="n"/>
      <c r="AN31" s="45" t="n"/>
      <c r="AO31" s="50">
        <f>IF(ISNUMBER(G31),G31,"")</f>
        <v/>
      </c>
      <c r="AP31" s="50">
        <f>IF(AND(ISNUMBER(H31),ISNUMBER(I31)),MIN(H31,I31),"")</f>
        <v/>
      </c>
      <c r="AQ31" s="50">
        <f>IF(AND(ISNUMBER(J31),ISNUMBER(K31)),MIN(J31,K31),"")</f>
        <v/>
      </c>
      <c r="AR31" s="50">
        <f>IF(AND(ISNUMBER(L31),ISNUMBER(M31)),IF(N31=1,0,MIN(L31,M31)),"")</f>
        <v/>
      </c>
      <c r="AS31" s="50">
        <f>IF(AND(ISNUMBER(O31),ISNUMBER(P31)),MIN(O31,P31),"")</f>
        <v/>
      </c>
      <c r="AT31" s="50">
        <f>IF(ISNUMBER(Q31),IF(R31=1,0,Q31),"")</f>
        <v/>
      </c>
      <c r="AU31" s="50">
        <f>IF(AND(ISNUMBER(S31),ISNUMBER(T31)),IF(U31=1,0,MIN(S31,T31)),"")</f>
        <v/>
      </c>
      <c r="AV31" s="50">
        <f>IF(COUNT(AO31:AU31)=7,SUM(AO31:AU31),"")</f>
        <v/>
      </c>
      <c r="AW31" s="50">
        <f>IF(ISNUMBER(AV31),--(H31&lt;&gt;I31)+--(J31&lt;&gt;K31)+--(L31&lt;&gt;M31)+--(O31&lt;&gt;P31)+--(S31&lt;&gt;T31),"")</f>
        <v/>
      </c>
      <c r="AX31" s="50">
        <f>IF(ISNUMBER(AV31),COUNT(N31,R31,U31),"")</f>
        <v/>
      </c>
      <c r="AY31" s="50">
        <f>IF(ISNUMBER(Y31),Y31,"")</f>
        <v/>
      </c>
      <c r="AZ31" s="50">
        <f>IF(AND(ISNUMBER(Z31),ISNUMBER(AA31)),MIN(Z31,AA31),"")</f>
        <v/>
      </c>
      <c r="BA31" s="50">
        <f>IF(AND(ISNUMBER(AB31),ISNUMBER(AC31)),MIN(AB31,AC31),"")</f>
        <v/>
      </c>
      <c r="BB31" s="50">
        <f>IF(AND(ISNUMBER(AD31),ISNUMBER(AE31)),IF(AF31=1,0,MIN(AD31,AE31)),"")</f>
        <v/>
      </c>
      <c r="BC31" s="50">
        <f>IF(AND(ISNUMBER(AG31),ISNUMBER(AH31)),MIN(AG31,AH31),"")</f>
        <v/>
      </c>
      <c r="BD31" s="50">
        <f>IF(ISNUMBER(AI31),IF(AJ31=1,0,AI31),"")</f>
        <v/>
      </c>
      <c r="BE31" s="50">
        <f>IF(AND(ISNUMBER(AK31),ISNUMBER(AL31)),IF(AM31=1,0,MIN(AK31,AL31)),"")</f>
        <v/>
      </c>
      <c r="BF31" s="50">
        <f>IF(COUNT(AY31:BE31)=7,SUM(AY31:BE31),"")</f>
        <v/>
      </c>
      <c r="BG31" s="50">
        <f>IF(ISNUMBER(BF31),--(Z31&lt;&gt;AA31)+--(AB31&lt;&gt;AC31)+--(AD31&lt;&gt;AE31)+--(AG31&lt;&gt;AH31)+--(AK31&lt;&gt;AL31),"")</f>
        <v/>
      </c>
      <c r="BH31" s="50">
        <f>IF(ISNUMBER(BF31),COUNT(AF31,AJ31,AM31),"")</f>
        <v/>
      </c>
      <c r="BI31" s="47">
        <f>IF(ISNUMBER(AV31),AV31,IF(ISNUMBER(V31),V31,""))</f>
        <v/>
      </c>
      <c r="BJ31" s="47">
        <f>IF(ISNUMBER(BF31),BF31,IF(ISNUMBER(AN31),AN31,""))</f>
        <v/>
      </c>
      <c r="BK31" s="47">
        <f>IF(AND(ISNUMBER(BI31),ISNUMBER(BJ31)),BJ31-BI31,"")</f>
        <v/>
      </c>
      <c r="BL31" s="42">
        <f>IF(ISNUMBER(AV31),"하위항목",IF(ISNUMBER(V31),"SPSS총점",""))</f>
        <v/>
      </c>
      <c r="BM31" s="42">
        <f>IF(ISNUMBER(BF31),"하위항목",IF(ISNUMBER(AN31),"SPSS총점",""))</f>
        <v/>
      </c>
      <c r="BN31" s="50">
        <f>IF($A31="","",IFERROR(IF(ISNUMBER(INDEX('FMS_평가자2'!$AP$4:$AP$33,MATCH($A31,'FMS_평가자2'!$A$4:$A$33,0))),INDEX('FMS_평가자2'!$AP$4:$AP$33,MATCH($A31,'FMS_평가자2'!$A$4:$A$33,0)),""),""))</f>
        <v/>
      </c>
      <c r="BO31" s="50">
        <f>IF($A31="","",IFERROR(IF(ISNUMBER(INDEX('FMS_평가자2'!$AY$4:$AY$33,MATCH($A31,'FMS_평가자2'!$A$4:$A$33,0))),INDEX('FMS_평가자2'!$AY$4:$AY$33,MATCH($A31,'FMS_평가자2'!$A$4:$A$33,0)),""),""))</f>
        <v/>
      </c>
      <c r="BP31" s="47">
        <f>IF(AND(ISNUMBER(AV31),ISNUMBER(BN31)),(AV31+BN31)/2,"")</f>
        <v/>
      </c>
      <c r="BQ31" s="47">
        <f>IF(AND(ISNUMBER(BF31),ISNUMBER(BO31)),(BF31+BO31)/2,"")</f>
        <v/>
      </c>
      <c r="BR31" s="47">
        <f>IF(AND(ISNUMBER(BP31),ISNUMBER(BQ31)),BQ31-BP31,"")</f>
        <v/>
      </c>
      <c r="BS31" s="51">
        <f>IF(A31="","",TRIM(IF(B31="ID없음","대상자_VO2max 시트에 없는 ID ","")&amp;IF(LEN(A31)&lt;&gt;LEN(TRIM(A31)),"ID 앞뒤 공백 ","")&amp;IF(COUNTIF($A$4:$A$33,A31)&gt;1,"ID 중복 ","")&amp;IF(AND(B31&lt;&gt;"ID없음",OR(B31="",AND(B31&lt;&gt;1,B31&lt;&gt;2))),"집단 코드 확인(대상자 시트) ","")&amp;IF(AND(B31&lt;&gt;"ID없음",OR(C31="",AND(C31&lt;&gt;0,C31&lt;&gt;1))),"분석포함 코드 확인 ","")&amp;IF(AND(COUNT(G31,H31,I31,J31,K31,L31,M31,O31,P31,Q31,S31,T31)&gt;0,COUNT(G31,H31,I31,J31,K31,L31,M31,O31,P31,Q31,S31,T31)&lt;12),"사전 동작점수 일부 빈칸 ","")&amp;IF(AND(COUNT(Y31,Z31,AA31,AB31,AC31,AD31,AE31,AG31,AH31,AI31,AK31,AL31)&gt;0,COUNT(Y31,Z31,AA31,AB31,AC31,AD31,AE31,AG31,AH31,AI31,AK31,AL31)&lt;12),"사후 동작점수 일부 빈칸 ","")&amp;IF(AND(V31&lt;&gt;"",NOT(ISNUMBER(V31))),"사전 SPSS총점 숫자 아님 ","")&amp;IF(AND(AN31&lt;&gt;"",NOT(ISNUMBER(AN31))),"사후 SPSS총점 숫자 아님 ","")&amp;IF(AND(ISNUMBER(AV31),ISNUMBER(V31)),IF(AV31&lt;&gt;V31,"사전: 계산총점≠SPSS총점 ",""),"")&amp;IF(ISNUMBER(BI31),IF(BI31&lt;&gt;INT(BI31),"사전 총점 정수 아님 ",""),"")&amp;IF(ISNUMBER(BI31),IF(OR(BI31&lt;0,BI31&gt;21),"사전 총점 범위(0–21) 밖 ",""),"")&amp;IF(AND(ISNUMBER(BF31),ISNUMBER(AN31)),IF(BF31&lt;&gt;AN31,"사후: 계산총점≠SPSS총점 ",""),"")&amp;IF(ISNUMBER(BJ31),IF(BJ31&lt;&gt;INT(BJ31),"사후 총점 정수 아님 ",""),"")&amp;IF(ISNUMBER(BJ31),IF(OR(BJ31&lt;0,BJ31&gt;21),"사후 총점 범위(0–21) 밖 ",""),"")&amp;IF(C31=1,IF(OR(NOT(ISNUMBER(BI31)),NOT(ISNUMBER(BJ31))),"분석포함인데 FMS 결측 ",""),"")))</f>
        <v/>
      </c>
    </row>
    <row r="32">
      <c r="A32" s="40" t="n"/>
      <c r="B32" s="50">
        <f>IF($A32="","",IFERROR(IF(INDEX('대상자_VO2max'!$B$4:$B$33,MATCH($A32,'대상자_VO2max'!$A$4:$A$33,0))="","",INDEX('대상자_VO2max'!$B$4:$B$33,MATCH($A32,'대상자_VO2max'!$A$4:$A$33,0))),"ID없음"))</f>
        <v/>
      </c>
      <c r="C32" s="50">
        <f>IF(ISNUMBER(D32),D32,IF($A32="","",IFERROR(IF(INDEX('대상자_VO2max'!$D$4:$D$33,MATCH($A32,'대상자_VO2max'!$A$4:$A$33,0))="","",INDEX('대상자_VO2max'!$D$4:$D$33,MATCH($A32,'대상자_VO2max'!$A$4:$A$33,0))),"ID없음")))</f>
        <v/>
      </c>
      <c r="D32" s="41" t="n"/>
      <c r="E32" s="40" t="n"/>
      <c r="F32" s="46" t="n"/>
      <c r="G32" s="41" t="n"/>
      <c r="H32" s="41" t="n"/>
      <c r="I32" s="41" t="n"/>
      <c r="J32" s="41" t="n"/>
      <c r="K32" s="41" t="n"/>
      <c r="L32" s="41" t="n"/>
      <c r="M32" s="41" t="n"/>
      <c r="N32" s="41" t="n"/>
      <c r="O32" s="41" t="n"/>
      <c r="P32" s="41" t="n"/>
      <c r="Q32" s="41" t="n"/>
      <c r="R32" s="41" t="n"/>
      <c r="S32" s="41" t="n"/>
      <c r="T32" s="41" t="n"/>
      <c r="U32" s="41" t="n"/>
      <c r="V32" s="45" t="n"/>
      <c r="W32" s="40" t="n"/>
      <c r="X32" s="46" t="n"/>
      <c r="Y32" s="41" t="n"/>
      <c r="Z32" s="41" t="n"/>
      <c r="AA32" s="41" t="n"/>
      <c r="AB32" s="41" t="n"/>
      <c r="AC32" s="41" t="n"/>
      <c r="AD32" s="41" t="n"/>
      <c r="AE32" s="41" t="n"/>
      <c r="AF32" s="41" t="n"/>
      <c r="AG32" s="41" t="n"/>
      <c r="AH32" s="41" t="n"/>
      <c r="AI32" s="41" t="n"/>
      <c r="AJ32" s="41" t="n"/>
      <c r="AK32" s="41" t="n"/>
      <c r="AL32" s="41" t="n"/>
      <c r="AM32" s="41" t="n"/>
      <c r="AN32" s="45" t="n"/>
      <c r="AO32" s="50">
        <f>IF(ISNUMBER(G32),G32,"")</f>
        <v/>
      </c>
      <c r="AP32" s="50">
        <f>IF(AND(ISNUMBER(H32),ISNUMBER(I32)),MIN(H32,I32),"")</f>
        <v/>
      </c>
      <c r="AQ32" s="50">
        <f>IF(AND(ISNUMBER(J32),ISNUMBER(K32)),MIN(J32,K32),"")</f>
        <v/>
      </c>
      <c r="AR32" s="50">
        <f>IF(AND(ISNUMBER(L32),ISNUMBER(M32)),IF(N32=1,0,MIN(L32,M32)),"")</f>
        <v/>
      </c>
      <c r="AS32" s="50">
        <f>IF(AND(ISNUMBER(O32),ISNUMBER(P32)),MIN(O32,P32),"")</f>
        <v/>
      </c>
      <c r="AT32" s="50">
        <f>IF(ISNUMBER(Q32),IF(R32=1,0,Q32),"")</f>
        <v/>
      </c>
      <c r="AU32" s="50">
        <f>IF(AND(ISNUMBER(S32),ISNUMBER(T32)),IF(U32=1,0,MIN(S32,T32)),"")</f>
        <v/>
      </c>
      <c r="AV32" s="50">
        <f>IF(COUNT(AO32:AU32)=7,SUM(AO32:AU32),"")</f>
        <v/>
      </c>
      <c r="AW32" s="50">
        <f>IF(ISNUMBER(AV32),--(H32&lt;&gt;I32)+--(J32&lt;&gt;K32)+--(L32&lt;&gt;M32)+--(O32&lt;&gt;P32)+--(S32&lt;&gt;T32),"")</f>
        <v/>
      </c>
      <c r="AX32" s="50">
        <f>IF(ISNUMBER(AV32),COUNT(N32,R32,U32),"")</f>
        <v/>
      </c>
      <c r="AY32" s="50">
        <f>IF(ISNUMBER(Y32),Y32,"")</f>
        <v/>
      </c>
      <c r="AZ32" s="50">
        <f>IF(AND(ISNUMBER(Z32),ISNUMBER(AA32)),MIN(Z32,AA32),"")</f>
        <v/>
      </c>
      <c r="BA32" s="50">
        <f>IF(AND(ISNUMBER(AB32),ISNUMBER(AC32)),MIN(AB32,AC32),"")</f>
        <v/>
      </c>
      <c r="BB32" s="50">
        <f>IF(AND(ISNUMBER(AD32),ISNUMBER(AE32)),IF(AF32=1,0,MIN(AD32,AE32)),"")</f>
        <v/>
      </c>
      <c r="BC32" s="50">
        <f>IF(AND(ISNUMBER(AG32),ISNUMBER(AH32)),MIN(AG32,AH32),"")</f>
        <v/>
      </c>
      <c r="BD32" s="50">
        <f>IF(ISNUMBER(AI32),IF(AJ32=1,0,AI32),"")</f>
        <v/>
      </c>
      <c r="BE32" s="50">
        <f>IF(AND(ISNUMBER(AK32),ISNUMBER(AL32)),IF(AM32=1,0,MIN(AK32,AL32)),"")</f>
        <v/>
      </c>
      <c r="BF32" s="50">
        <f>IF(COUNT(AY32:BE32)=7,SUM(AY32:BE32),"")</f>
        <v/>
      </c>
      <c r="BG32" s="50">
        <f>IF(ISNUMBER(BF32),--(Z32&lt;&gt;AA32)+--(AB32&lt;&gt;AC32)+--(AD32&lt;&gt;AE32)+--(AG32&lt;&gt;AH32)+--(AK32&lt;&gt;AL32),"")</f>
        <v/>
      </c>
      <c r="BH32" s="50">
        <f>IF(ISNUMBER(BF32),COUNT(AF32,AJ32,AM32),"")</f>
        <v/>
      </c>
      <c r="BI32" s="47">
        <f>IF(ISNUMBER(AV32),AV32,IF(ISNUMBER(V32),V32,""))</f>
        <v/>
      </c>
      <c r="BJ32" s="47">
        <f>IF(ISNUMBER(BF32),BF32,IF(ISNUMBER(AN32),AN32,""))</f>
        <v/>
      </c>
      <c r="BK32" s="47">
        <f>IF(AND(ISNUMBER(BI32),ISNUMBER(BJ32)),BJ32-BI32,"")</f>
        <v/>
      </c>
      <c r="BL32" s="42">
        <f>IF(ISNUMBER(AV32),"하위항목",IF(ISNUMBER(V32),"SPSS총점",""))</f>
        <v/>
      </c>
      <c r="BM32" s="42">
        <f>IF(ISNUMBER(BF32),"하위항목",IF(ISNUMBER(AN32),"SPSS총점",""))</f>
        <v/>
      </c>
      <c r="BN32" s="50">
        <f>IF($A32="","",IFERROR(IF(ISNUMBER(INDEX('FMS_평가자2'!$AP$4:$AP$33,MATCH($A32,'FMS_평가자2'!$A$4:$A$33,0))),INDEX('FMS_평가자2'!$AP$4:$AP$33,MATCH($A32,'FMS_평가자2'!$A$4:$A$33,0)),""),""))</f>
        <v/>
      </c>
      <c r="BO32" s="50">
        <f>IF($A32="","",IFERROR(IF(ISNUMBER(INDEX('FMS_평가자2'!$AY$4:$AY$33,MATCH($A32,'FMS_평가자2'!$A$4:$A$33,0))),INDEX('FMS_평가자2'!$AY$4:$AY$33,MATCH($A32,'FMS_평가자2'!$A$4:$A$33,0)),""),""))</f>
        <v/>
      </c>
      <c r="BP32" s="47">
        <f>IF(AND(ISNUMBER(AV32),ISNUMBER(BN32)),(AV32+BN32)/2,"")</f>
        <v/>
      </c>
      <c r="BQ32" s="47">
        <f>IF(AND(ISNUMBER(BF32),ISNUMBER(BO32)),(BF32+BO32)/2,"")</f>
        <v/>
      </c>
      <c r="BR32" s="47">
        <f>IF(AND(ISNUMBER(BP32),ISNUMBER(BQ32)),BQ32-BP32,"")</f>
        <v/>
      </c>
      <c r="BS32" s="51">
        <f>IF(A32="","",TRIM(IF(B32="ID없음","대상자_VO2max 시트에 없는 ID ","")&amp;IF(LEN(A32)&lt;&gt;LEN(TRIM(A32)),"ID 앞뒤 공백 ","")&amp;IF(COUNTIF($A$4:$A$33,A32)&gt;1,"ID 중복 ","")&amp;IF(AND(B32&lt;&gt;"ID없음",OR(B32="",AND(B32&lt;&gt;1,B32&lt;&gt;2))),"집단 코드 확인(대상자 시트) ","")&amp;IF(AND(B32&lt;&gt;"ID없음",OR(C32="",AND(C32&lt;&gt;0,C32&lt;&gt;1))),"분석포함 코드 확인 ","")&amp;IF(AND(COUNT(G32,H32,I32,J32,K32,L32,M32,O32,P32,Q32,S32,T32)&gt;0,COUNT(G32,H32,I32,J32,K32,L32,M32,O32,P32,Q32,S32,T32)&lt;12),"사전 동작점수 일부 빈칸 ","")&amp;IF(AND(COUNT(Y32,Z32,AA32,AB32,AC32,AD32,AE32,AG32,AH32,AI32,AK32,AL32)&gt;0,COUNT(Y32,Z32,AA32,AB32,AC32,AD32,AE32,AG32,AH32,AI32,AK32,AL32)&lt;12),"사후 동작점수 일부 빈칸 ","")&amp;IF(AND(V32&lt;&gt;"",NOT(ISNUMBER(V32))),"사전 SPSS총점 숫자 아님 ","")&amp;IF(AND(AN32&lt;&gt;"",NOT(ISNUMBER(AN32))),"사후 SPSS총점 숫자 아님 ","")&amp;IF(AND(ISNUMBER(AV32),ISNUMBER(V32)),IF(AV32&lt;&gt;V32,"사전: 계산총점≠SPSS총점 ",""),"")&amp;IF(ISNUMBER(BI32),IF(BI32&lt;&gt;INT(BI32),"사전 총점 정수 아님 ",""),"")&amp;IF(ISNUMBER(BI32),IF(OR(BI32&lt;0,BI32&gt;21),"사전 총점 범위(0–21) 밖 ",""),"")&amp;IF(AND(ISNUMBER(BF32),ISNUMBER(AN32)),IF(BF32&lt;&gt;AN32,"사후: 계산총점≠SPSS총점 ",""),"")&amp;IF(ISNUMBER(BJ32),IF(BJ32&lt;&gt;INT(BJ32),"사후 총점 정수 아님 ",""),"")&amp;IF(ISNUMBER(BJ32),IF(OR(BJ32&lt;0,BJ32&gt;21),"사후 총점 범위(0–21) 밖 ",""),"")&amp;IF(C32=1,IF(OR(NOT(ISNUMBER(BI32)),NOT(ISNUMBER(BJ32))),"분석포함인데 FMS 결측 ",""),"")))</f>
        <v/>
      </c>
    </row>
    <row r="33">
      <c r="A33" s="40" t="n"/>
      <c r="B33" s="50">
        <f>IF($A33="","",IFERROR(IF(INDEX('대상자_VO2max'!$B$4:$B$33,MATCH($A33,'대상자_VO2max'!$A$4:$A$33,0))="","",INDEX('대상자_VO2max'!$B$4:$B$33,MATCH($A33,'대상자_VO2max'!$A$4:$A$33,0))),"ID없음"))</f>
        <v/>
      </c>
      <c r="C33" s="50">
        <f>IF(ISNUMBER(D33),D33,IF($A33="","",IFERROR(IF(INDEX('대상자_VO2max'!$D$4:$D$33,MATCH($A33,'대상자_VO2max'!$A$4:$A$33,0))="","",INDEX('대상자_VO2max'!$D$4:$D$33,MATCH($A33,'대상자_VO2max'!$A$4:$A$33,0))),"ID없음")))</f>
        <v/>
      </c>
      <c r="D33" s="41" t="n"/>
      <c r="E33" s="40" t="n"/>
      <c r="F33" s="46" t="n"/>
      <c r="G33" s="41" t="n"/>
      <c r="H33" s="41" t="n"/>
      <c r="I33" s="41" t="n"/>
      <c r="J33" s="41" t="n"/>
      <c r="K33" s="41" t="n"/>
      <c r="L33" s="41" t="n"/>
      <c r="M33" s="41" t="n"/>
      <c r="N33" s="41" t="n"/>
      <c r="O33" s="41" t="n"/>
      <c r="P33" s="41" t="n"/>
      <c r="Q33" s="41" t="n"/>
      <c r="R33" s="41" t="n"/>
      <c r="S33" s="41" t="n"/>
      <c r="T33" s="41" t="n"/>
      <c r="U33" s="41" t="n"/>
      <c r="V33" s="45" t="n"/>
      <c r="W33" s="40" t="n"/>
      <c r="X33" s="46" t="n"/>
      <c r="Y33" s="41" t="n"/>
      <c r="Z33" s="41" t="n"/>
      <c r="AA33" s="41" t="n"/>
      <c r="AB33" s="41" t="n"/>
      <c r="AC33" s="41" t="n"/>
      <c r="AD33" s="41" t="n"/>
      <c r="AE33" s="41" t="n"/>
      <c r="AF33" s="41" t="n"/>
      <c r="AG33" s="41" t="n"/>
      <c r="AH33" s="41" t="n"/>
      <c r="AI33" s="41" t="n"/>
      <c r="AJ33" s="41" t="n"/>
      <c r="AK33" s="41" t="n"/>
      <c r="AL33" s="41" t="n"/>
      <c r="AM33" s="41" t="n"/>
      <c r="AN33" s="45" t="n"/>
      <c r="AO33" s="50">
        <f>IF(ISNUMBER(G33),G33,"")</f>
        <v/>
      </c>
      <c r="AP33" s="50">
        <f>IF(AND(ISNUMBER(H33),ISNUMBER(I33)),MIN(H33,I33),"")</f>
        <v/>
      </c>
      <c r="AQ33" s="50">
        <f>IF(AND(ISNUMBER(J33),ISNUMBER(K33)),MIN(J33,K33),"")</f>
        <v/>
      </c>
      <c r="AR33" s="50">
        <f>IF(AND(ISNUMBER(L33),ISNUMBER(M33)),IF(N33=1,0,MIN(L33,M33)),"")</f>
        <v/>
      </c>
      <c r="AS33" s="50">
        <f>IF(AND(ISNUMBER(O33),ISNUMBER(P33)),MIN(O33,P33),"")</f>
        <v/>
      </c>
      <c r="AT33" s="50">
        <f>IF(ISNUMBER(Q33),IF(R33=1,0,Q33),"")</f>
        <v/>
      </c>
      <c r="AU33" s="50">
        <f>IF(AND(ISNUMBER(S33),ISNUMBER(T33)),IF(U33=1,0,MIN(S33,T33)),"")</f>
        <v/>
      </c>
      <c r="AV33" s="50">
        <f>IF(COUNT(AO33:AU33)=7,SUM(AO33:AU33),"")</f>
        <v/>
      </c>
      <c r="AW33" s="50">
        <f>IF(ISNUMBER(AV33),--(H33&lt;&gt;I33)+--(J33&lt;&gt;K33)+--(L33&lt;&gt;M33)+--(O33&lt;&gt;P33)+--(S33&lt;&gt;T33),"")</f>
        <v/>
      </c>
      <c r="AX33" s="50">
        <f>IF(ISNUMBER(AV33),COUNT(N33,R33,U33),"")</f>
        <v/>
      </c>
      <c r="AY33" s="50">
        <f>IF(ISNUMBER(Y33),Y33,"")</f>
        <v/>
      </c>
      <c r="AZ33" s="50">
        <f>IF(AND(ISNUMBER(Z33),ISNUMBER(AA33)),MIN(Z33,AA33),"")</f>
        <v/>
      </c>
      <c r="BA33" s="50">
        <f>IF(AND(ISNUMBER(AB33),ISNUMBER(AC33)),MIN(AB33,AC33),"")</f>
        <v/>
      </c>
      <c r="BB33" s="50">
        <f>IF(AND(ISNUMBER(AD33),ISNUMBER(AE33)),IF(AF33=1,0,MIN(AD33,AE33)),"")</f>
        <v/>
      </c>
      <c r="BC33" s="50">
        <f>IF(AND(ISNUMBER(AG33),ISNUMBER(AH33)),MIN(AG33,AH33),"")</f>
        <v/>
      </c>
      <c r="BD33" s="50">
        <f>IF(ISNUMBER(AI33),IF(AJ33=1,0,AI33),"")</f>
        <v/>
      </c>
      <c r="BE33" s="50">
        <f>IF(AND(ISNUMBER(AK33),ISNUMBER(AL33)),IF(AM33=1,0,MIN(AK33,AL33)),"")</f>
        <v/>
      </c>
      <c r="BF33" s="50">
        <f>IF(COUNT(AY33:BE33)=7,SUM(AY33:BE33),"")</f>
        <v/>
      </c>
      <c r="BG33" s="50">
        <f>IF(ISNUMBER(BF33),--(Z33&lt;&gt;AA33)+--(AB33&lt;&gt;AC33)+--(AD33&lt;&gt;AE33)+--(AG33&lt;&gt;AH33)+--(AK33&lt;&gt;AL33),"")</f>
        <v/>
      </c>
      <c r="BH33" s="50">
        <f>IF(ISNUMBER(BF33),COUNT(AF33,AJ33,AM33),"")</f>
        <v/>
      </c>
      <c r="BI33" s="47">
        <f>IF(ISNUMBER(AV33),AV33,IF(ISNUMBER(V33),V33,""))</f>
        <v/>
      </c>
      <c r="BJ33" s="47">
        <f>IF(ISNUMBER(BF33),BF33,IF(ISNUMBER(AN33),AN33,""))</f>
        <v/>
      </c>
      <c r="BK33" s="47">
        <f>IF(AND(ISNUMBER(BI33),ISNUMBER(BJ33)),BJ33-BI33,"")</f>
        <v/>
      </c>
      <c r="BL33" s="42">
        <f>IF(ISNUMBER(AV33),"하위항목",IF(ISNUMBER(V33),"SPSS총점",""))</f>
        <v/>
      </c>
      <c r="BM33" s="42">
        <f>IF(ISNUMBER(BF33),"하위항목",IF(ISNUMBER(AN33),"SPSS총점",""))</f>
        <v/>
      </c>
      <c r="BN33" s="50">
        <f>IF($A33="","",IFERROR(IF(ISNUMBER(INDEX('FMS_평가자2'!$AP$4:$AP$33,MATCH($A33,'FMS_평가자2'!$A$4:$A$33,0))),INDEX('FMS_평가자2'!$AP$4:$AP$33,MATCH($A33,'FMS_평가자2'!$A$4:$A$33,0)),""),""))</f>
        <v/>
      </c>
      <c r="BO33" s="50">
        <f>IF($A33="","",IFERROR(IF(ISNUMBER(INDEX('FMS_평가자2'!$AY$4:$AY$33,MATCH($A33,'FMS_평가자2'!$A$4:$A$33,0))),INDEX('FMS_평가자2'!$AY$4:$AY$33,MATCH($A33,'FMS_평가자2'!$A$4:$A$33,0)),""),""))</f>
        <v/>
      </c>
      <c r="BP33" s="47">
        <f>IF(AND(ISNUMBER(AV33),ISNUMBER(BN33)),(AV33+BN33)/2,"")</f>
        <v/>
      </c>
      <c r="BQ33" s="47">
        <f>IF(AND(ISNUMBER(BF33),ISNUMBER(BO33)),(BF33+BO33)/2,"")</f>
        <v/>
      </c>
      <c r="BR33" s="47">
        <f>IF(AND(ISNUMBER(BP33),ISNUMBER(BQ33)),BQ33-BP33,"")</f>
        <v/>
      </c>
      <c r="BS33" s="51">
        <f>IF(A33="","",TRIM(IF(B33="ID없음","대상자_VO2max 시트에 없는 ID ","")&amp;IF(LEN(A33)&lt;&gt;LEN(TRIM(A33)),"ID 앞뒤 공백 ","")&amp;IF(COUNTIF($A$4:$A$33,A33)&gt;1,"ID 중복 ","")&amp;IF(AND(B33&lt;&gt;"ID없음",OR(B33="",AND(B33&lt;&gt;1,B33&lt;&gt;2))),"집단 코드 확인(대상자 시트) ","")&amp;IF(AND(B33&lt;&gt;"ID없음",OR(C33="",AND(C33&lt;&gt;0,C33&lt;&gt;1))),"분석포함 코드 확인 ","")&amp;IF(AND(COUNT(G33,H33,I33,J33,K33,L33,M33,O33,P33,Q33,S33,T33)&gt;0,COUNT(G33,H33,I33,J33,K33,L33,M33,O33,P33,Q33,S33,T33)&lt;12),"사전 동작점수 일부 빈칸 ","")&amp;IF(AND(COUNT(Y33,Z33,AA33,AB33,AC33,AD33,AE33,AG33,AH33,AI33,AK33,AL33)&gt;0,COUNT(Y33,Z33,AA33,AB33,AC33,AD33,AE33,AG33,AH33,AI33,AK33,AL33)&lt;12),"사후 동작점수 일부 빈칸 ","")&amp;IF(AND(V33&lt;&gt;"",NOT(ISNUMBER(V33))),"사전 SPSS총점 숫자 아님 ","")&amp;IF(AND(AN33&lt;&gt;"",NOT(ISNUMBER(AN33))),"사후 SPSS총점 숫자 아님 ","")&amp;IF(AND(ISNUMBER(AV33),ISNUMBER(V33)),IF(AV33&lt;&gt;V33,"사전: 계산총점≠SPSS총점 ",""),"")&amp;IF(ISNUMBER(BI33),IF(BI33&lt;&gt;INT(BI33),"사전 총점 정수 아님 ",""),"")&amp;IF(ISNUMBER(BI33),IF(OR(BI33&lt;0,BI33&gt;21),"사전 총점 범위(0–21) 밖 ",""),"")&amp;IF(AND(ISNUMBER(BF33),ISNUMBER(AN33)),IF(BF33&lt;&gt;AN33,"사후: 계산총점≠SPSS총점 ",""),"")&amp;IF(ISNUMBER(BJ33),IF(BJ33&lt;&gt;INT(BJ33),"사후 총점 정수 아님 ",""),"")&amp;IF(ISNUMBER(BJ33),IF(OR(BJ33&lt;0,BJ33&gt;21),"사후 총점 범위(0–21) 밖 ",""),"")&amp;IF(C33=1,IF(OR(NOT(ISNUMBER(BI33)),NOT(ISNUMBER(BJ33))),"분석포함인데 FMS 결측 ",""),"")))</f>
        <v/>
      </c>
    </row>
  </sheetData>
  <conditionalFormatting sqref="BS4:BS33">
    <cfRule type="expression" priority="1" dxfId="0">
      <formula>LEN(BS4)&gt;0</formula>
    </cfRule>
  </conditionalFormatting>
  <dataValidations count="35">
    <dataValidation sqref="G4:G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H4:H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I4:I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J4:J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K4:K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L4:L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M4:M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O4:O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P4:P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Q4:Q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S4:S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T4:T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N4:N33" showDropDown="0" showInputMessage="0" showErrorMessage="1" allowBlank="1" errorTitle="Clearing test" error="1(통증 있음) 또는 0(없음). 검사하지 않았거나 기록이 없으면 빈칸." type="list">
      <formula1>"1,0"</formula1>
    </dataValidation>
    <dataValidation sqref="R4:R33" showDropDown="0" showInputMessage="0" showErrorMessage="1" allowBlank="1" errorTitle="Clearing test" error="1(통증 있음) 또는 0(없음). 검사하지 않았거나 기록이 없으면 빈칸." type="list">
      <formula1>"1,0"</formula1>
    </dataValidation>
    <dataValidation sqref="U4:U33" showDropDown="0" showInputMessage="0" showErrorMessage="1" allowBlank="1" errorTitle="Clearing test" error="1(통증 있음) 또는 0(없음). 검사하지 않았거나 기록이 없으면 빈칸." type="list">
      <formula1>"1,0"</formula1>
    </dataValidation>
    <dataValidation sqref="D4:D33" showDropDown="0" showInputMessage="0" showErrorMessage="1" allowBlank="1" errorTitle="FMS 분석포함" error="1(포함) 또는 0(제외). 비우면 대상자 시트의 분석포함을 따릅니다." type="list">
      <formula1>"1,0"</formula1>
    </dataValidation>
    <dataValidation sqref="V4:V33" showDropDown="0" showInputMessage="0" showErrorMessage="1" allowBlank="1" errorTitle="FMS 총점" error="FMS 총점은 0–21 범위입니다." type="decimal" operator="between">
      <formula1>0</formula1>
      <formula2>21</formula2>
    </dataValidation>
    <dataValidation sqref="F4:F33" showDropDown="0" showInputMessage="0" showErrorMessage="1" allowBlank="1" errorTitle="날짜 형식" error="2025-03-03 형식(하이픈)으로 입력하세요." type="date" errorStyle="warning" operator="between">
      <formula1>DATE(2020,1,1)</formula1>
      <formula2>DATE(2027,12,31)</formula2>
    </dataValidation>
    <dataValidation sqref="Y4:Y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Z4:Z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A4:AA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B4:AB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C4:AC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D4:AD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E4:AE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G4:AG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H4:AH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I4:AI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K4:AK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L4:AL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F4:AF33" showDropDown="0" showInputMessage="0" showErrorMessage="1" allowBlank="1" errorTitle="Clearing test" error="1(통증 있음) 또는 0(없음). 검사하지 않았거나 기록이 없으면 빈칸." type="list">
      <formula1>"1,0"</formula1>
    </dataValidation>
    <dataValidation sqref="AJ4:AJ33" showDropDown="0" showInputMessage="0" showErrorMessage="1" allowBlank="1" errorTitle="Clearing test" error="1(통증 있음) 또는 0(없음). 검사하지 않았거나 기록이 없으면 빈칸." type="list">
      <formula1>"1,0"</formula1>
    </dataValidation>
    <dataValidation sqref="AM4:AM33" showDropDown="0" showInputMessage="0" showErrorMessage="1" allowBlank="1" errorTitle="Clearing test" error="1(통증 있음) 또는 0(없음). 검사하지 않았거나 기록이 없으면 빈칸." type="list">
      <formula1>"1,0"</formula1>
    </dataValidation>
    <dataValidation sqref="AN4:AN33" showDropDown="0" showInputMessage="0" showErrorMessage="1" allowBlank="1" errorTitle="FMS 총점" error="FMS 총점은 0–21 범위입니다." type="decimal" operator="between">
      <formula1>0</formula1>
      <formula2>21</formula2>
    </dataValidation>
    <dataValidation sqref="X4:X33" showDropDown="0" showInputMessage="0" showErrorMessage="1" allowBlank="1" errorTitle="날짜 형식" error="2025-03-03 형식(하이픈)으로 입력하세요." type="date" errorStyle="warning" operator="between">
      <formula1>DATE(2020,1,1)</formula1>
      <formula2>DATE(2027,12,31)</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A33"/>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9" customWidth="1" min="11" max="11"/>
    <col width="7" customWidth="1" min="12" max="12"/>
    <col width="7" customWidth="1" min="13" max="13"/>
    <col width="7" customWidth="1" min="14" max="14"/>
    <col width="9" customWidth="1" min="15" max="15"/>
    <col width="7" customWidth="1" min="16" max="16"/>
    <col width="7" customWidth="1" min="17" max="17"/>
    <col width="9"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9" customWidth="1" min="27" max="27"/>
    <col width="7" customWidth="1" min="28" max="28"/>
    <col width="7" customWidth="1" min="29" max="29"/>
    <col width="7" customWidth="1" min="30" max="30"/>
    <col width="9" customWidth="1" min="31" max="31"/>
    <col width="7" customWidth="1" min="32" max="32"/>
    <col width="7" customWidth="1" min="33" max="33"/>
    <col width="9"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8" customWidth="1" min="42" max="42"/>
    <col width="8"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8" customWidth="1" min="51" max="51"/>
    <col width="8" customWidth="1" min="52" max="52"/>
    <col width="50" customWidth="1" min="53" max="53"/>
  </cols>
  <sheetData>
    <row r="1" ht="16" customHeight="1">
      <c r="A1" s="23" t="inlineStr">
        <is>
          <t>ID</t>
        </is>
      </c>
      <c r="B1" s="23" t="inlineStr">
        <is>
          <t>group</t>
        </is>
      </c>
      <c r="C1" s="23" t="inlineStr">
        <is>
          <t>rater_pre</t>
        </is>
      </c>
      <c r="D1" s="23" t="inlineStr">
        <is>
          <t>DS_pre</t>
        </is>
      </c>
      <c r="E1" s="23" t="inlineStr">
        <is>
          <t>HS_L_pre</t>
        </is>
      </c>
      <c r="F1" s="23" t="inlineStr">
        <is>
          <t>HS_R_pre</t>
        </is>
      </c>
      <c r="G1" s="23" t="inlineStr">
        <is>
          <t>ILL_L_pre</t>
        </is>
      </c>
      <c r="H1" s="23" t="inlineStr">
        <is>
          <t>ILL_R_pre</t>
        </is>
      </c>
      <c r="I1" s="23" t="inlineStr">
        <is>
          <t>SM_L_pre</t>
        </is>
      </c>
      <c r="J1" s="23" t="inlineStr">
        <is>
          <t>SM_R_pre</t>
        </is>
      </c>
      <c r="K1" s="23" t="inlineStr">
        <is>
          <t>SM_clr_pre</t>
        </is>
      </c>
      <c r="L1" s="23" t="inlineStr">
        <is>
          <t>ASLR_L_pre</t>
        </is>
      </c>
      <c r="M1" s="23" t="inlineStr">
        <is>
          <t>ASLR_R_pre</t>
        </is>
      </c>
      <c r="N1" s="23" t="inlineStr">
        <is>
          <t>TSPU_pre</t>
        </is>
      </c>
      <c r="O1" s="23" t="inlineStr">
        <is>
          <t>TSPU_clr_pre</t>
        </is>
      </c>
      <c r="P1" s="23" t="inlineStr">
        <is>
          <t>RS_L_pre</t>
        </is>
      </c>
      <c r="Q1" s="23" t="inlineStr">
        <is>
          <t>RS_R_pre</t>
        </is>
      </c>
      <c r="R1" s="23" t="inlineStr">
        <is>
          <t>RS_clr_pre</t>
        </is>
      </c>
      <c r="S1" s="23" t="inlineStr">
        <is>
          <t>rater_post</t>
        </is>
      </c>
      <c r="T1" s="23" t="inlineStr">
        <is>
          <t>DS_post</t>
        </is>
      </c>
      <c r="U1" s="23" t="inlineStr">
        <is>
          <t>HS_L_post</t>
        </is>
      </c>
      <c r="V1" s="23" t="inlineStr">
        <is>
          <t>HS_R_post</t>
        </is>
      </c>
      <c r="W1" s="23" t="inlineStr">
        <is>
          <t>ILL_L_post</t>
        </is>
      </c>
      <c r="X1" s="23" t="inlineStr">
        <is>
          <t>ILL_R_post</t>
        </is>
      </c>
      <c r="Y1" s="23" t="inlineStr">
        <is>
          <t>SM_L_post</t>
        </is>
      </c>
      <c r="Z1" s="23" t="inlineStr">
        <is>
          <t>SM_R_post</t>
        </is>
      </c>
      <c r="AA1" s="23" t="inlineStr">
        <is>
          <t>SM_clr_post</t>
        </is>
      </c>
      <c r="AB1" s="23" t="inlineStr">
        <is>
          <t>ASLR_L_post</t>
        </is>
      </c>
      <c r="AC1" s="23" t="inlineStr">
        <is>
          <t>ASLR_R_post</t>
        </is>
      </c>
      <c r="AD1" s="23" t="inlineStr">
        <is>
          <t>TSPU_post</t>
        </is>
      </c>
      <c r="AE1" s="23" t="inlineStr">
        <is>
          <t>TSPU_clr_post</t>
        </is>
      </c>
      <c r="AF1" s="23" t="inlineStr">
        <is>
          <t>RS_L_post</t>
        </is>
      </c>
      <c r="AG1" s="23" t="inlineStr">
        <is>
          <t>RS_R_post</t>
        </is>
      </c>
      <c r="AH1" s="23" t="inlineStr">
        <is>
          <t>RS_clr_post</t>
        </is>
      </c>
      <c r="AI1" s="23" t="inlineStr">
        <is>
          <t>DSs_pre</t>
        </is>
      </c>
      <c r="AJ1" s="23" t="inlineStr">
        <is>
          <t>HSs_pre</t>
        </is>
      </c>
      <c r="AK1" s="23" t="inlineStr">
        <is>
          <t>ILLs_pre</t>
        </is>
      </c>
      <c r="AL1" s="23" t="inlineStr">
        <is>
          <t>SMs_pre</t>
        </is>
      </c>
      <c r="AM1" s="23" t="inlineStr">
        <is>
          <t>ASLRs_pre</t>
        </is>
      </c>
      <c r="AN1" s="23" t="inlineStr">
        <is>
          <t>TSPUs_pre</t>
        </is>
      </c>
      <c r="AO1" s="23" t="inlineStr">
        <is>
          <t>RSs_pre</t>
        </is>
      </c>
      <c r="AP1" s="23" t="inlineStr">
        <is>
          <t>fms_calc_pre</t>
        </is>
      </c>
      <c r="AQ1" s="23" t="inlineStr">
        <is>
          <t>asym_pre</t>
        </is>
      </c>
      <c r="AR1" s="23" t="inlineStr">
        <is>
          <t>DSs_post</t>
        </is>
      </c>
      <c r="AS1" s="23" t="inlineStr">
        <is>
          <t>HSs_post</t>
        </is>
      </c>
      <c r="AT1" s="23" t="inlineStr">
        <is>
          <t>ILLs_post</t>
        </is>
      </c>
      <c r="AU1" s="23" t="inlineStr">
        <is>
          <t>SMs_post</t>
        </is>
      </c>
      <c r="AV1" s="23" t="inlineStr">
        <is>
          <t>ASLRs_post</t>
        </is>
      </c>
      <c r="AW1" s="23" t="inlineStr">
        <is>
          <t>TSPUs_post</t>
        </is>
      </c>
      <c r="AX1" s="23" t="inlineStr">
        <is>
          <t>RSs_post</t>
        </is>
      </c>
      <c r="AY1" s="23" t="inlineStr">
        <is>
          <t>fms_calc_post</t>
        </is>
      </c>
      <c r="AZ1" s="23" t="inlineStr">
        <is>
          <t>asym_post</t>
        </is>
      </c>
      <c r="BA1" s="23" t="inlineStr">
        <is>
          <t>chk_fms2</t>
        </is>
      </c>
    </row>
    <row r="2" ht="84" customHeight="1">
      <c r="A2" s="24" t="inlineStr">
        <is>
          <t>대상자 ID
(직접 입력)</t>
        </is>
      </c>
      <c r="B2" s="25" t="inlineStr">
        <is>
          <t>집단
(자동)</t>
        </is>
      </c>
      <c r="C2" s="26" t="inlineStr">
        <is>
          <t>사전
평가자
(코드)</t>
        </is>
      </c>
      <c r="D2" s="26" t="inlineStr">
        <is>
          <t>사전
DS
(0–3)</t>
        </is>
      </c>
      <c r="E2" s="26" t="inlineStr">
        <is>
          <t>사전
HS 좌
(0–3)</t>
        </is>
      </c>
      <c r="F2" s="26" t="inlineStr">
        <is>
          <t>사전
HS 우
(0–3)</t>
        </is>
      </c>
      <c r="G2" s="26" t="inlineStr">
        <is>
          <t>사전
ILL 좌
(0–3)</t>
        </is>
      </c>
      <c r="H2" s="26" t="inlineStr">
        <is>
          <t>사전
ILL 우
(0–3)</t>
        </is>
      </c>
      <c r="I2" s="26" t="inlineStr">
        <is>
          <t>사전
SM 좌
(0–3)</t>
        </is>
      </c>
      <c r="J2" s="26" t="inlineStr">
        <is>
          <t>사전
SM 우
(0–3)</t>
        </is>
      </c>
      <c r="K2" s="26" t="inlineStr">
        <is>
          <t>사전
SM
clearing
통증 1/0
(좌·우 중 하나라도)</t>
        </is>
      </c>
      <c r="L2" s="26" t="inlineStr">
        <is>
          <t>사전
ASLR 좌
(0–3)</t>
        </is>
      </c>
      <c r="M2" s="26" t="inlineStr">
        <is>
          <t>사전
ASLR 우
(0–3)</t>
        </is>
      </c>
      <c r="N2" s="26" t="inlineStr">
        <is>
          <t>사전
TSPU
(0–3)</t>
        </is>
      </c>
      <c r="O2" s="26" t="inlineStr">
        <is>
          <t>사전
TSPU
clearing
통증 1/0</t>
        </is>
      </c>
      <c r="P2" s="26" t="inlineStr">
        <is>
          <t>사전
RS 좌
(0–3)</t>
        </is>
      </c>
      <c r="Q2" s="26" t="inlineStr">
        <is>
          <t>사전
RS 우
(0–3)</t>
        </is>
      </c>
      <c r="R2" s="26" t="inlineStr">
        <is>
          <t>사전
RS
clearing
통증 1/0</t>
        </is>
      </c>
      <c r="S2" s="27" t="inlineStr">
        <is>
          <t>사후
평가자
(코드)</t>
        </is>
      </c>
      <c r="T2" s="27" t="inlineStr">
        <is>
          <t>사후
DS
(0–3)</t>
        </is>
      </c>
      <c r="U2" s="27" t="inlineStr">
        <is>
          <t>사후
HS 좌
(0–3)</t>
        </is>
      </c>
      <c r="V2" s="27" t="inlineStr">
        <is>
          <t>사후
HS 우
(0–3)</t>
        </is>
      </c>
      <c r="W2" s="27" t="inlineStr">
        <is>
          <t>사후
ILL 좌
(0–3)</t>
        </is>
      </c>
      <c r="X2" s="27" t="inlineStr">
        <is>
          <t>사후
ILL 우
(0–3)</t>
        </is>
      </c>
      <c r="Y2" s="27" t="inlineStr">
        <is>
          <t>사후
SM 좌
(0–3)</t>
        </is>
      </c>
      <c r="Z2" s="27" t="inlineStr">
        <is>
          <t>사후
SM 우
(0–3)</t>
        </is>
      </c>
      <c r="AA2" s="27" t="inlineStr">
        <is>
          <t>사후
SM
clearing
통증 1/0
(좌·우 중 하나라도)</t>
        </is>
      </c>
      <c r="AB2" s="27" t="inlineStr">
        <is>
          <t>사후
ASLR 좌
(0–3)</t>
        </is>
      </c>
      <c r="AC2" s="27" t="inlineStr">
        <is>
          <t>사후
ASLR 우
(0–3)</t>
        </is>
      </c>
      <c r="AD2" s="27" t="inlineStr">
        <is>
          <t>사후
TSPU
(0–3)</t>
        </is>
      </c>
      <c r="AE2" s="27" t="inlineStr">
        <is>
          <t>사후
TSPU
clearing
통증 1/0</t>
        </is>
      </c>
      <c r="AF2" s="27" t="inlineStr">
        <is>
          <t>사후
RS 좌
(0–3)</t>
        </is>
      </c>
      <c r="AG2" s="27" t="inlineStr">
        <is>
          <t>사후
RS 우
(0–3)</t>
        </is>
      </c>
      <c r="AH2" s="27" t="inlineStr">
        <is>
          <t>사후
RS
clearing
통증 1/0</t>
        </is>
      </c>
      <c r="AI2" s="25" t="inlineStr">
        <is>
          <t>사전
DS
점수
(자동)</t>
        </is>
      </c>
      <c r="AJ2" s="25" t="inlineStr">
        <is>
          <t>사전
HS
점수
(자동)</t>
        </is>
      </c>
      <c r="AK2" s="25" t="inlineStr">
        <is>
          <t>사전
ILL
점수
(자동)</t>
        </is>
      </c>
      <c r="AL2" s="25" t="inlineStr">
        <is>
          <t>사전
SM
점수
(자동)</t>
        </is>
      </c>
      <c r="AM2" s="25" t="inlineStr">
        <is>
          <t>사전
ASLR
점수
(자동)</t>
        </is>
      </c>
      <c r="AN2" s="25" t="inlineStr">
        <is>
          <t>사전
TSPU
점수
(자동)</t>
        </is>
      </c>
      <c r="AO2" s="25" t="inlineStr">
        <is>
          <t>사전
RS
점수
(자동)</t>
        </is>
      </c>
      <c r="AP2" s="25" t="inlineStr">
        <is>
          <t>사전
하위항목 합
(자동)</t>
        </is>
      </c>
      <c r="AQ2" s="25" t="inlineStr">
        <is>
          <t>사전
좌우 비대칭
항목 수
(자동)</t>
        </is>
      </c>
      <c r="AR2" s="25" t="inlineStr">
        <is>
          <t>사후
DS
점수
(자동)</t>
        </is>
      </c>
      <c r="AS2" s="25" t="inlineStr">
        <is>
          <t>사후
HS
점수
(자동)</t>
        </is>
      </c>
      <c r="AT2" s="25" t="inlineStr">
        <is>
          <t>사후
ILL
점수
(자동)</t>
        </is>
      </c>
      <c r="AU2" s="25" t="inlineStr">
        <is>
          <t>사후
SM
점수
(자동)</t>
        </is>
      </c>
      <c r="AV2" s="25" t="inlineStr">
        <is>
          <t>사후
ASLR
점수
(자동)</t>
        </is>
      </c>
      <c r="AW2" s="25" t="inlineStr">
        <is>
          <t>사후
TSPU
점수
(자동)</t>
        </is>
      </c>
      <c r="AX2" s="25" t="inlineStr">
        <is>
          <t>사후
RS
점수
(자동)</t>
        </is>
      </c>
      <c r="AY2" s="25" t="inlineStr">
        <is>
          <t>사후
하위항목 합
(자동)</t>
        </is>
      </c>
      <c r="AZ2" s="25" t="inlineStr">
        <is>
          <t>사후
좌우 비대칭
항목 수
(자동)</t>
        </is>
      </c>
      <c r="BA2" s="25" t="inlineStr">
        <is>
          <t>자동 점검 (경고가 있으면 주황색)</t>
        </is>
      </c>
    </row>
    <row r="3">
      <c r="A3" s="28" t="inlineStr">
        <is>
          <t>예시</t>
        </is>
      </c>
      <c r="B3" s="38" t="n">
        <v>1</v>
      </c>
      <c r="C3" s="28" t="inlineStr">
        <is>
          <t>R2</t>
        </is>
      </c>
      <c r="D3" s="29" t="n">
        <v>2</v>
      </c>
      <c r="E3" s="29" t="n">
        <v>2</v>
      </c>
      <c r="F3" s="29" t="n">
        <v>2</v>
      </c>
      <c r="G3" s="29" t="n">
        <v>2</v>
      </c>
      <c r="H3" s="29" t="n">
        <v>2</v>
      </c>
      <c r="I3" s="29" t="n">
        <v>3</v>
      </c>
      <c r="J3" s="29" t="n">
        <v>2</v>
      </c>
      <c r="K3" s="29" t="n">
        <v>0</v>
      </c>
      <c r="L3" s="29" t="n">
        <v>2</v>
      </c>
      <c r="M3" s="29" t="n">
        <v>2</v>
      </c>
      <c r="N3" s="29" t="n">
        <v>2</v>
      </c>
      <c r="O3" s="29" t="n">
        <v>0</v>
      </c>
      <c r="P3" s="29" t="n">
        <v>2</v>
      </c>
      <c r="Q3" s="29" t="n">
        <v>2</v>
      </c>
      <c r="R3" s="29" t="n">
        <v>0</v>
      </c>
      <c r="S3" s="28" t="inlineStr">
        <is>
          <t>R2</t>
        </is>
      </c>
      <c r="T3" s="29" t="n">
        <v>2</v>
      </c>
      <c r="U3" s="29" t="n">
        <v>2</v>
      </c>
      <c r="V3" s="29" t="n">
        <v>3</v>
      </c>
      <c r="W3" s="29" t="n">
        <v>3</v>
      </c>
      <c r="X3" s="29" t="n">
        <v>3</v>
      </c>
      <c r="Y3" s="29" t="n">
        <v>3</v>
      </c>
      <c r="Z3" s="29" t="n">
        <v>2</v>
      </c>
      <c r="AA3" s="29" t="n">
        <v>0</v>
      </c>
      <c r="AB3" s="29" t="n">
        <v>3</v>
      </c>
      <c r="AC3" s="29" t="n">
        <v>2</v>
      </c>
      <c r="AD3" s="29" t="n">
        <v>2</v>
      </c>
      <c r="AE3" s="29" t="n">
        <v>0</v>
      </c>
      <c r="AF3" s="29" t="n">
        <v>2</v>
      </c>
      <c r="AG3" s="29" t="n">
        <v>2</v>
      </c>
      <c r="AH3" s="29" t="n">
        <v>0</v>
      </c>
      <c r="AI3" s="38">
        <f>IF(ISNUMBER(D3),D3,"")</f>
        <v/>
      </c>
      <c r="AJ3" s="38">
        <f>IF(AND(ISNUMBER(E3),ISNUMBER(F3)),MIN(E3,F3),"")</f>
        <v/>
      </c>
      <c r="AK3" s="38">
        <f>IF(AND(ISNUMBER(G3),ISNUMBER(H3)),MIN(G3,H3),"")</f>
        <v/>
      </c>
      <c r="AL3" s="38">
        <f>IF(AND(ISNUMBER(I3),ISNUMBER(J3)),IF(K3=1,0,MIN(I3,J3)),"")</f>
        <v/>
      </c>
      <c r="AM3" s="38">
        <f>IF(AND(ISNUMBER(L3),ISNUMBER(M3)),MIN(L3,M3),"")</f>
        <v/>
      </c>
      <c r="AN3" s="38">
        <f>IF(ISNUMBER(N3),IF(O3=1,0,N3),"")</f>
        <v/>
      </c>
      <c r="AO3" s="38">
        <f>IF(AND(ISNUMBER(P3),ISNUMBER(Q3)),IF(R3=1,0,MIN(P3,Q3)),"")</f>
        <v/>
      </c>
      <c r="AP3" s="38">
        <f>IF(COUNT(AI3:AO3)=7,SUM(AI3:AO3),"")</f>
        <v/>
      </c>
      <c r="AQ3" s="38">
        <f>IF(ISNUMBER(AP3),--(E3&lt;&gt;F3)+--(G3&lt;&gt;H3)+--(I3&lt;&gt;J3)+--(L3&lt;&gt;M3)+--(P3&lt;&gt;Q3),"")</f>
        <v/>
      </c>
      <c r="AR3" s="38">
        <f>IF(ISNUMBER(T3),T3,"")</f>
        <v/>
      </c>
      <c r="AS3" s="38">
        <f>IF(AND(ISNUMBER(U3),ISNUMBER(V3)),MIN(U3,V3),"")</f>
        <v/>
      </c>
      <c r="AT3" s="38">
        <f>IF(AND(ISNUMBER(W3),ISNUMBER(X3)),MIN(W3,X3),"")</f>
        <v/>
      </c>
      <c r="AU3" s="38">
        <f>IF(AND(ISNUMBER(Y3),ISNUMBER(Z3)),IF(AA3=1,0,MIN(Y3,Z3)),"")</f>
        <v/>
      </c>
      <c r="AV3" s="38">
        <f>IF(AND(ISNUMBER(AB3),ISNUMBER(AC3)),MIN(AB3,AC3),"")</f>
        <v/>
      </c>
      <c r="AW3" s="38">
        <f>IF(ISNUMBER(AD3),IF(AE3=1,0,AD3),"")</f>
        <v/>
      </c>
      <c r="AX3" s="38">
        <f>IF(AND(ISNUMBER(AF3),ISNUMBER(AG3)),IF(AH3=1,0,MIN(AF3,AG3)),"")</f>
        <v/>
      </c>
      <c r="AY3" s="38">
        <f>IF(COUNT(AR3:AX3)=7,SUM(AR3:AX3),"")</f>
        <v/>
      </c>
      <c r="AZ3" s="38">
        <f>IF(ISNUMBER(AY3),--(U3&lt;&gt;V3)+--(W3&lt;&gt;X3)+--(Y3&lt;&gt;Z3)+--(AB3&lt;&gt;AC3)+--(AF3&lt;&gt;AG3),"")</f>
        <v/>
      </c>
      <c r="BA3" s="39" t="inlineStr"/>
    </row>
    <row r="4">
      <c r="A4" s="40" t="n"/>
      <c r="B4" s="50">
        <f>IF($A4="","",IFERROR(IF(INDEX('대상자_VO2max'!$B$4:$B$33,MATCH($A4,'대상자_VO2max'!$A$4:$A$33,0))="","",INDEX('대상자_VO2max'!$B$4:$B$33,MATCH($A4,'대상자_VO2max'!$A$4:$A$33,0))),"ID없음"))</f>
        <v/>
      </c>
      <c r="C4" s="40" t="n"/>
      <c r="D4" s="41" t="n"/>
      <c r="E4" s="41" t="n"/>
      <c r="F4" s="41" t="n"/>
      <c r="G4" s="41" t="n"/>
      <c r="H4" s="41" t="n"/>
      <c r="I4" s="41" t="n"/>
      <c r="J4" s="41" t="n"/>
      <c r="K4" s="41" t="n"/>
      <c r="L4" s="41" t="n"/>
      <c r="M4" s="41" t="n"/>
      <c r="N4" s="41" t="n"/>
      <c r="O4" s="41" t="n"/>
      <c r="P4" s="41" t="n"/>
      <c r="Q4" s="41" t="n"/>
      <c r="R4" s="41" t="n"/>
      <c r="S4" s="40" t="n"/>
      <c r="T4" s="41" t="n"/>
      <c r="U4" s="41" t="n"/>
      <c r="V4" s="41" t="n"/>
      <c r="W4" s="41" t="n"/>
      <c r="X4" s="41" t="n"/>
      <c r="Y4" s="41" t="n"/>
      <c r="Z4" s="41" t="n"/>
      <c r="AA4" s="41" t="n"/>
      <c r="AB4" s="41" t="n"/>
      <c r="AC4" s="41" t="n"/>
      <c r="AD4" s="41" t="n"/>
      <c r="AE4" s="41" t="n"/>
      <c r="AF4" s="41" t="n"/>
      <c r="AG4" s="41" t="n"/>
      <c r="AH4" s="41" t="n"/>
      <c r="AI4" s="50">
        <f>IF(ISNUMBER(D4),D4,"")</f>
        <v/>
      </c>
      <c r="AJ4" s="50">
        <f>IF(AND(ISNUMBER(E4),ISNUMBER(F4)),MIN(E4,F4),"")</f>
        <v/>
      </c>
      <c r="AK4" s="50">
        <f>IF(AND(ISNUMBER(G4),ISNUMBER(H4)),MIN(G4,H4),"")</f>
        <v/>
      </c>
      <c r="AL4" s="50">
        <f>IF(AND(ISNUMBER(I4),ISNUMBER(J4)),IF(K4=1,0,MIN(I4,J4)),"")</f>
        <v/>
      </c>
      <c r="AM4" s="50">
        <f>IF(AND(ISNUMBER(L4),ISNUMBER(M4)),MIN(L4,M4),"")</f>
        <v/>
      </c>
      <c r="AN4" s="50">
        <f>IF(ISNUMBER(N4),IF(O4=1,0,N4),"")</f>
        <v/>
      </c>
      <c r="AO4" s="50">
        <f>IF(AND(ISNUMBER(P4),ISNUMBER(Q4)),IF(R4=1,0,MIN(P4,Q4)),"")</f>
        <v/>
      </c>
      <c r="AP4" s="50">
        <f>IF(COUNT(AI4:AO4)=7,SUM(AI4:AO4),"")</f>
        <v/>
      </c>
      <c r="AQ4" s="50">
        <f>IF(ISNUMBER(AP4),--(E4&lt;&gt;F4)+--(G4&lt;&gt;H4)+--(I4&lt;&gt;J4)+--(L4&lt;&gt;M4)+--(P4&lt;&gt;Q4),"")</f>
        <v/>
      </c>
      <c r="AR4" s="50">
        <f>IF(ISNUMBER(T4),T4,"")</f>
        <v/>
      </c>
      <c r="AS4" s="50">
        <f>IF(AND(ISNUMBER(U4),ISNUMBER(V4)),MIN(U4,V4),"")</f>
        <v/>
      </c>
      <c r="AT4" s="50">
        <f>IF(AND(ISNUMBER(W4),ISNUMBER(X4)),MIN(W4,X4),"")</f>
        <v/>
      </c>
      <c r="AU4" s="50">
        <f>IF(AND(ISNUMBER(Y4),ISNUMBER(Z4)),IF(AA4=1,0,MIN(Y4,Z4)),"")</f>
        <v/>
      </c>
      <c r="AV4" s="50">
        <f>IF(AND(ISNUMBER(AB4),ISNUMBER(AC4)),MIN(AB4,AC4),"")</f>
        <v/>
      </c>
      <c r="AW4" s="50">
        <f>IF(ISNUMBER(AD4),IF(AE4=1,0,AD4),"")</f>
        <v/>
      </c>
      <c r="AX4" s="50">
        <f>IF(AND(ISNUMBER(AF4),ISNUMBER(AG4)),IF(AH4=1,0,MIN(AF4,AG4)),"")</f>
        <v/>
      </c>
      <c r="AY4" s="50">
        <f>IF(COUNT(AR4:AX4)=7,SUM(AR4:AX4),"")</f>
        <v/>
      </c>
      <c r="AZ4" s="50">
        <f>IF(ISNUMBER(AY4),--(U4&lt;&gt;V4)+--(W4&lt;&gt;X4)+--(Y4&lt;&gt;Z4)+--(AB4&lt;&gt;AC4)+--(AF4&lt;&gt;AG4),"")</f>
        <v/>
      </c>
      <c r="BA4" s="51">
        <f>IF(A4="","",TRIM(IF(B4="ID없음","대상자_VO2max 시트에 없는 ID ","")&amp;IF(LEN(A4)&lt;&gt;LEN(TRIM(A4)),"ID 앞뒤 공백 ","")&amp;IF(COUNTIF($A$4:$A$33,A4)&gt;1,"ID 중복 ","")&amp;IF(COUNTIF('FMS'!$A$4:$A$33,A4)=0,"FMS(평가자1) 시트에 없는 ID ","")&amp;IF(AND(COUNT(D4,E4,F4,G4,H4,I4,J4,L4,M4,N4,P4,Q4)&gt;0,COUNT(D4,E4,F4,G4,H4,I4,J4,L4,M4,N4,P4,Q4)&lt;12),"사전 동작점수 일부 빈칸 ","")&amp;IF(AND(COUNT(T4,U4,V4,W4,X4,Y4,Z4,AB4,AC4,AD4,AF4,AG4)&gt;0,COUNT(T4,U4,V4,W4,X4,Y4,Z4,AB4,AC4,AD4,AF4,AG4)&lt;12),"사후 동작점수 일부 빈칸 ","")))</f>
        <v/>
      </c>
    </row>
    <row r="5">
      <c r="A5" s="40" t="n"/>
      <c r="B5" s="50">
        <f>IF($A5="","",IFERROR(IF(INDEX('대상자_VO2max'!$B$4:$B$33,MATCH($A5,'대상자_VO2max'!$A$4:$A$33,0))="","",INDEX('대상자_VO2max'!$B$4:$B$33,MATCH($A5,'대상자_VO2max'!$A$4:$A$33,0))),"ID없음"))</f>
        <v/>
      </c>
      <c r="C5" s="40" t="n"/>
      <c r="D5" s="41" t="n"/>
      <c r="E5" s="41" t="n"/>
      <c r="F5" s="41" t="n"/>
      <c r="G5" s="41" t="n"/>
      <c r="H5" s="41" t="n"/>
      <c r="I5" s="41" t="n"/>
      <c r="J5" s="41" t="n"/>
      <c r="K5" s="41" t="n"/>
      <c r="L5" s="41" t="n"/>
      <c r="M5" s="41" t="n"/>
      <c r="N5" s="41" t="n"/>
      <c r="O5" s="41" t="n"/>
      <c r="P5" s="41" t="n"/>
      <c r="Q5" s="41" t="n"/>
      <c r="R5" s="41" t="n"/>
      <c r="S5" s="40" t="n"/>
      <c r="T5" s="41" t="n"/>
      <c r="U5" s="41" t="n"/>
      <c r="V5" s="41" t="n"/>
      <c r="W5" s="41" t="n"/>
      <c r="X5" s="41" t="n"/>
      <c r="Y5" s="41" t="n"/>
      <c r="Z5" s="41" t="n"/>
      <c r="AA5" s="41" t="n"/>
      <c r="AB5" s="41" t="n"/>
      <c r="AC5" s="41" t="n"/>
      <c r="AD5" s="41" t="n"/>
      <c r="AE5" s="41" t="n"/>
      <c r="AF5" s="41" t="n"/>
      <c r="AG5" s="41" t="n"/>
      <c r="AH5" s="41" t="n"/>
      <c r="AI5" s="50">
        <f>IF(ISNUMBER(D5),D5,"")</f>
        <v/>
      </c>
      <c r="AJ5" s="50">
        <f>IF(AND(ISNUMBER(E5),ISNUMBER(F5)),MIN(E5,F5),"")</f>
        <v/>
      </c>
      <c r="AK5" s="50">
        <f>IF(AND(ISNUMBER(G5),ISNUMBER(H5)),MIN(G5,H5),"")</f>
        <v/>
      </c>
      <c r="AL5" s="50">
        <f>IF(AND(ISNUMBER(I5),ISNUMBER(J5)),IF(K5=1,0,MIN(I5,J5)),"")</f>
        <v/>
      </c>
      <c r="AM5" s="50">
        <f>IF(AND(ISNUMBER(L5),ISNUMBER(M5)),MIN(L5,M5),"")</f>
        <v/>
      </c>
      <c r="AN5" s="50">
        <f>IF(ISNUMBER(N5),IF(O5=1,0,N5),"")</f>
        <v/>
      </c>
      <c r="AO5" s="50">
        <f>IF(AND(ISNUMBER(P5),ISNUMBER(Q5)),IF(R5=1,0,MIN(P5,Q5)),"")</f>
        <v/>
      </c>
      <c r="AP5" s="50">
        <f>IF(COUNT(AI5:AO5)=7,SUM(AI5:AO5),"")</f>
        <v/>
      </c>
      <c r="AQ5" s="50">
        <f>IF(ISNUMBER(AP5),--(E5&lt;&gt;F5)+--(G5&lt;&gt;H5)+--(I5&lt;&gt;J5)+--(L5&lt;&gt;M5)+--(P5&lt;&gt;Q5),"")</f>
        <v/>
      </c>
      <c r="AR5" s="50">
        <f>IF(ISNUMBER(T5),T5,"")</f>
        <v/>
      </c>
      <c r="AS5" s="50">
        <f>IF(AND(ISNUMBER(U5),ISNUMBER(V5)),MIN(U5,V5),"")</f>
        <v/>
      </c>
      <c r="AT5" s="50">
        <f>IF(AND(ISNUMBER(W5),ISNUMBER(X5)),MIN(W5,X5),"")</f>
        <v/>
      </c>
      <c r="AU5" s="50">
        <f>IF(AND(ISNUMBER(Y5),ISNUMBER(Z5)),IF(AA5=1,0,MIN(Y5,Z5)),"")</f>
        <v/>
      </c>
      <c r="AV5" s="50">
        <f>IF(AND(ISNUMBER(AB5),ISNUMBER(AC5)),MIN(AB5,AC5),"")</f>
        <v/>
      </c>
      <c r="AW5" s="50">
        <f>IF(ISNUMBER(AD5),IF(AE5=1,0,AD5),"")</f>
        <v/>
      </c>
      <c r="AX5" s="50">
        <f>IF(AND(ISNUMBER(AF5),ISNUMBER(AG5)),IF(AH5=1,0,MIN(AF5,AG5)),"")</f>
        <v/>
      </c>
      <c r="AY5" s="50">
        <f>IF(COUNT(AR5:AX5)=7,SUM(AR5:AX5),"")</f>
        <v/>
      </c>
      <c r="AZ5" s="50">
        <f>IF(ISNUMBER(AY5),--(U5&lt;&gt;V5)+--(W5&lt;&gt;X5)+--(Y5&lt;&gt;Z5)+--(AB5&lt;&gt;AC5)+--(AF5&lt;&gt;AG5),"")</f>
        <v/>
      </c>
      <c r="BA5" s="51">
        <f>IF(A5="","",TRIM(IF(B5="ID없음","대상자_VO2max 시트에 없는 ID ","")&amp;IF(LEN(A5)&lt;&gt;LEN(TRIM(A5)),"ID 앞뒤 공백 ","")&amp;IF(COUNTIF($A$4:$A$33,A5)&gt;1,"ID 중복 ","")&amp;IF(COUNTIF('FMS'!$A$4:$A$33,A5)=0,"FMS(평가자1) 시트에 없는 ID ","")&amp;IF(AND(COUNT(D5,E5,F5,G5,H5,I5,J5,L5,M5,N5,P5,Q5)&gt;0,COUNT(D5,E5,F5,G5,H5,I5,J5,L5,M5,N5,P5,Q5)&lt;12),"사전 동작점수 일부 빈칸 ","")&amp;IF(AND(COUNT(T5,U5,V5,W5,X5,Y5,Z5,AB5,AC5,AD5,AF5,AG5)&gt;0,COUNT(T5,U5,V5,W5,X5,Y5,Z5,AB5,AC5,AD5,AF5,AG5)&lt;12),"사후 동작점수 일부 빈칸 ","")))</f>
        <v/>
      </c>
    </row>
    <row r="6">
      <c r="A6" s="40" t="n"/>
      <c r="B6" s="50">
        <f>IF($A6="","",IFERROR(IF(INDEX('대상자_VO2max'!$B$4:$B$33,MATCH($A6,'대상자_VO2max'!$A$4:$A$33,0))="","",INDEX('대상자_VO2max'!$B$4:$B$33,MATCH($A6,'대상자_VO2max'!$A$4:$A$33,0))),"ID없음"))</f>
        <v/>
      </c>
      <c r="C6" s="40" t="n"/>
      <c r="D6" s="41" t="n"/>
      <c r="E6" s="41" t="n"/>
      <c r="F6" s="41" t="n"/>
      <c r="G6" s="41" t="n"/>
      <c r="H6" s="41" t="n"/>
      <c r="I6" s="41" t="n"/>
      <c r="J6" s="41" t="n"/>
      <c r="K6" s="41" t="n"/>
      <c r="L6" s="41" t="n"/>
      <c r="M6" s="41" t="n"/>
      <c r="N6" s="41" t="n"/>
      <c r="O6" s="41" t="n"/>
      <c r="P6" s="41" t="n"/>
      <c r="Q6" s="41" t="n"/>
      <c r="R6" s="41" t="n"/>
      <c r="S6" s="40" t="n"/>
      <c r="T6" s="41" t="n"/>
      <c r="U6" s="41" t="n"/>
      <c r="V6" s="41" t="n"/>
      <c r="W6" s="41" t="n"/>
      <c r="X6" s="41" t="n"/>
      <c r="Y6" s="41" t="n"/>
      <c r="Z6" s="41" t="n"/>
      <c r="AA6" s="41" t="n"/>
      <c r="AB6" s="41" t="n"/>
      <c r="AC6" s="41" t="n"/>
      <c r="AD6" s="41" t="n"/>
      <c r="AE6" s="41" t="n"/>
      <c r="AF6" s="41" t="n"/>
      <c r="AG6" s="41" t="n"/>
      <c r="AH6" s="41" t="n"/>
      <c r="AI6" s="50">
        <f>IF(ISNUMBER(D6),D6,"")</f>
        <v/>
      </c>
      <c r="AJ6" s="50">
        <f>IF(AND(ISNUMBER(E6),ISNUMBER(F6)),MIN(E6,F6),"")</f>
        <v/>
      </c>
      <c r="AK6" s="50">
        <f>IF(AND(ISNUMBER(G6),ISNUMBER(H6)),MIN(G6,H6),"")</f>
        <v/>
      </c>
      <c r="AL6" s="50">
        <f>IF(AND(ISNUMBER(I6),ISNUMBER(J6)),IF(K6=1,0,MIN(I6,J6)),"")</f>
        <v/>
      </c>
      <c r="AM6" s="50">
        <f>IF(AND(ISNUMBER(L6),ISNUMBER(M6)),MIN(L6,M6),"")</f>
        <v/>
      </c>
      <c r="AN6" s="50">
        <f>IF(ISNUMBER(N6),IF(O6=1,0,N6),"")</f>
        <v/>
      </c>
      <c r="AO6" s="50">
        <f>IF(AND(ISNUMBER(P6),ISNUMBER(Q6)),IF(R6=1,0,MIN(P6,Q6)),"")</f>
        <v/>
      </c>
      <c r="AP6" s="50">
        <f>IF(COUNT(AI6:AO6)=7,SUM(AI6:AO6),"")</f>
        <v/>
      </c>
      <c r="AQ6" s="50">
        <f>IF(ISNUMBER(AP6),--(E6&lt;&gt;F6)+--(G6&lt;&gt;H6)+--(I6&lt;&gt;J6)+--(L6&lt;&gt;M6)+--(P6&lt;&gt;Q6),"")</f>
        <v/>
      </c>
      <c r="AR6" s="50">
        <f>IF(ISNUMBER(T6),T6,"")</f>
        <v/>
      </c>
      <c r="AS6" s="50">
        <f>IF(AND(ISNUMBER(U6),ISNUMBER(V6)),MIN(U6,V6),"")</f>
        <v/>
      </c>
      <c r="AT6" s="50">
        <f>IF(AND(ISNUMBER(W6),ISNUMBER(X6)),MIN(W6,X6),"")</f>
        <v/>
      </c>
      <c r="AU6" s="50">
        <f>IF(AND(ISNUMBER(Y6),ISNUMBER(Z6)),IF(AA6=1,0,MIN(Y6,Z6)),"")</f>
        <v/>
      </c>
      <c r="AV6" s="50">
        <f>IF(AND(ISNUMBER(AB6),ISNUMBER(AC6)),MIN(AB6,AC6),"")</f>
        <v/>
      </c>
      <c r="AW6" s="50">
        <f>IF(ISNUMBER(AD6),IF(AE6=1,0,AD6),"")</f>
        <v/>
      </c>
      <c r="AX6" s="50">
        <f>IF(AND(ISNUMBER(AF6),ISNUMBER(AG6)),IF(AH6=1,0,MIN(AF6,AG6)),"")</f>
        <v/>
      </c>
      <c r="AY6" s="50">
        <f>IF(COUNT(AR6:AX6)=7,SUM(AR6:AX6),"")</f>
        <v/>
      </c>
      <c r="AZ6" s="50">
        <f>IF(ISNUMBER(AY6),--(U6&lt;&gt;V6)+--(W6&lt;&gt;X6)+--(Y6&lt;&gt;Z6)+--(AB6&lt;&gt;AC6)+--(AF6&lt;&gt;AG6),"")</f>
        <v/>
      </c>
      <c r="BA6" s="51">
        <f>IF(A6="","",TRIM(IF(B6="ID없음","대상자_VO2max 시트에 없는 ID ","")&amp;IF(LEN(A6)&lt;&gt;LEN(TRIM(A6)),"ID 앞뒤 공백 ","")&amp;IF(COUNTIF($A$4:$A$33,A6)&gt;1,"ID 중복 ","")&amp;IF(COUNTIF('FMS'!$A$4:$A$33,A6)=0,"FMS(평가자1) 시트에 없는 ID ","")&amp;IF(AND(COUNT(D6,E6,F6,G6,H6,I6,J6,L6,M6,N6,P6,Q6)&gt;0,COUNT(D6,E6,F6,G6,H6,I6,J6,L6,M6,N6,P6,Q6)&lt;12),"사전 동작점수 일부 빈칸 ","")&amp;IF(AND(COUNT(T6,U6,V6,W6,X6,Y6,Z6,AB6,AC6,AD6,AF6,AG6)&gt;0,COUNT(T6,U6,V6,W6,X6,Y6,Z6,AB6,AC6,AD6,AF6,AG6)&lt;12),"사후 동작점수 일부 빈칸 ","")))</f>
        <v/>
      </c>
    </row>
    <row r="7">
      <c r="A7" s="40" t="n"/>
      <c r="B7" s="50">
        <f>IF($A7="","",IFERROR(IF(INDEX('대상자_VO2max'!$B$4:$B$33,MATCH($A7,'대상자_VO2max'!$A$4:$A$33,0))="","",INDEX('대상자_VO2max'!$B$4:$B$33,MATCH($A7,'대상자_VO2max'!$A$4:$A$33,0))),"ID없음"))</f>
        <v/>
      </c>
      <c r="C7" s="40" t="n"/>
      <c r="D7" s="41" t="n"/>
      <c r="E7" s="41" t="n"/>
      <c r="F7" s="41" t="n"/>
      <c r="G7" s="41" t="n"/>
      <c r="H7" s="41" t="n"/>
      <c r="I7" s="41" t="n"/>
      <c r="J7" s="41" t="n"/>
      <c r="K7" s="41" t="n"/>
      <c r="L7" s="41" t="n"/>
      <c r="M7" s="41" t="n"/>
      <c r="N7" s="41" t="n"/>
      <c r="O7" s="41" t="n"/>
      <c r="P7" s="41" t="n"/>
      <c r="Q7" s="41" t="n"/>
      <c r="R7" s="41" t="n"/>
      <c r="S7" s="40" t="n"/>
      <c r="T7" s="41" t="n"/>
      <c r="U7" s="41" t="n"/>
      <c r="V7" s="41" t="n"/>
      <c r="W7" s="41" t="n"/>
      <c r="X7" s="41" t="n"/>
      <c r="Y7" s="41" t="n"/>
      <c r="Z7" s="41" t="n"/>
      <c r="AA7" s="41" t="n"/>
      <c r="AB7" s="41" t="n"/>
      <c r="AC7" s="41" t="n"/>
      <c r="AD7" s="41" t="n"/>
      <c r="AE7" s="41" t="n"/>
      <c r="AF7" s="41" t="n"/>
      <c r="AG7" s="41" t="n"/>
      <c r="AH7" s="41" t="n"/>
      <c r="AI7" s="50">
        <f>IF(ISNUMBER(D7),D7,"")</f>
        <v/>
      </c>
      <c r="AJ7" s="50">
        <f>IF(AND(ISNUMBER(E7),ISNUMBER(F7)),MIN(E7,F7),"")</f>
        <v/>
      </c>
      <c r="AK7" s="50">
        <f>IF(AND(ISNUMBER(G7),ISNUMBER(H7)),MIN(G7,H7),"")</f>
        <v/>
      </c>
      <c r="AL7" s="50">
        <f>IF(AND(ISNUMBER(I7),ISNUMBER(J7)),IF(K7=1,0,MIN(I7,J7)),"")</f>
        <v/>
      </c>
      <c r="AM7" s="50">
        <f>IF(AND(ISNUMBER(L7),ISNUMBER(M7)),MIN(L7,M7),"")</f>
        <v/>
      </c>
      <c r="AN7" s="50">
        <f>IF(ISNUMBER(N7),IF(O7=1,0,N7),"")</f>
        <v/>
      </c>
      <c r="AO7" s="50">
        <f>IF(AND(ISNUMBER(P7),ISNUMBER(Q7)),IF(R7=1,0,MIN(P7,Q7)),"")</f>
        <v/>
      </c>
      <c r="AP7" s="50">
        <f>IF(COUNT(AI7:AO7)=7,SUM(AI7:AO7),"")</f>
        <v/>
      </c>
      <c r="AQ7" s="50">
        <f>IF(ISNUMBER(AP7),--(E7&lt;&gt;F7)+--(G7&lt;&gt;H7)+--(I7&lt;&gt;J7)+--(L7&lt;&gt;M7)+--(P7&lt;&gt;Q7),"")</f>
        <v/>
      </c>
      <c r="AR7" s="50">
        <f>IF(ISNUMBER(T7),T7,"")</f>
        <v/>
      </c>
      <c r="AS7" s="50">
        <f>IF(AND(ISNUMBER(U7),ISNUMBER(V7)),MIN(U7,V7),"")</f>
        <v/>
      </c>
      <c r="AT7" s="50">
        <f>IF(AND(ISNUMBER(W7),ISNUMBER(X7)),MIN(W7,X7),"")</f>
        <v/>
      </c>
      <c r="AU7" s="50">
        <f>IF(AND(ISNUMBER(Y7),ISNUMBER(Z7)),IF(AA7=1,0,MIN(Y7,Z7)),"")</f>
        <v/>
      </c>
      <c r="AV7" s="50">
        <f>IF(AND(ISNUMBER(AB7),ISNUMBER(AC7)),MIN(AB7,AC7),"")</f>
        <v/>
      </c>
      <c r="AW7" s="50">
        <f>IF(ISNUMBER(AD7),IF(AE7=1,0,AD7),"")</f>
        <v/>
      </c>
      <c r="AX7" s="50">
        <f>IF(AND(ISNUMBER(AF7),ISNUMBER(AG7)),IF(AH7=1,0,MIN(AF7,AG7)),"")</f>
        <v/>
      </c>
      <c r="AY7" s="50">
        <f>IF(COUNT(AR7:AX7)=7,SUM(AR7:AX7),"")</f>
        <v/>
      </c>
      <c r="AZ7" s="50">
        <f>IF(ISNUMBER(AY7),--(U7&lt;&gt;V7)+--(W7&lt;&gt;X7)+--(Y7&lt;&gt;Z7)+--(AB7&lt;&gt;AC7)+--(AF7&lt;&gt;AG7),"")</f>
        <v/>
      </c>
      <c r="BA7" s="51">
        <f>IF(A7="","",TRIM(IF(B7="ID없음","대상자_VO2max 시트에 없는 ID ","")&amp;IF(LEN(A7)&lt;&gt;LEN(TRIM(A7)),"ID 앞뒤 공백 ","")&amp;IF(COUNTIF($A$4:$A$33,A7)&gt;1,"ID 중복 ","")&amp;IF(COUNTIF('FMS'!$A$4:$A$33,A7)=0,"FMS(평가자1) 시트에 없는 ID ","")&amp;IF(AND(COUNT(D7,E7,F7,G7,H7,I7,J7,L7,M7,N7,P7,Q7)&gt;0,COUNT(D7,E7,F7,G7,H7,I7,J7,L7,M7,N7,P7,Q7)&lt;12),"사전 동작점수 일부 빈칸 ","")&amp;IF(AND(COUNT(T7,U7,V7,W7,X7,Y7,Z7,AB7,AC7,AD7,AF7,AG7)&gt;0,COUNT(T7,U7,V7,W7,X7,Y7,Z7,AB7,AC7,AD7,AF7,AG7)&lt;12),"사후 동작점수 일부 빈칸 ","")))</f>
        <v/>
      </c>
    </row>
    <row r="8">
      <c r="A8" s="40" t="n"/>
      <c r="B8" s="50">
        <f>IF($A8="","",IFERROR(IF(INDEX('대상자_VO2max'!$B$4:$B$33,MATCH($A8,'대상자_VO2max'!$A$4:$A$33,0))="","",INDEX('대상자_VO2max'!$B$4:$B$33,MATCH($A8,'대상자_VO2max'!$A$4:$A$33,0))),"ID없음"))</f>
        <v/>
      </c>
      <c r="C8" s="40" t="n"/>
      <c r="D8" s="41" t="n"/>
      <c r="E8" s="41" t="n"/>
      <c r="F8" s="41" t="n"/>
      <c r="G8" s="41" t="n"/>
      <c r="H8" s="41" t="n"/>
      <c r="I8" s="41" t="n"/>
      <c r="J8" s="41" t="n"/>
      <c r="K8" s="41" t="n"/>
      <c r="L8" s="41" t="n"/>
      <c r="M8" s="41" t="n"/>
      <c r="N8" s="41" t="n"/>
      <c r="O8" s="41" t="n"/>
      <c r="P8" s="41" t="n"/>
      <c r="Q8" s="41" t="n"/>
      <c r="R8" s="41" t="n"/>
      <c r="S8" s="40" t="n"/>
      <c r="T8" s="41" t="n"/>
      <c r="U8" s="41" t="n"/>
      <c r="V8" s="41" t="n"/>
      <c r="W8" s="41" t="n"/>
      <c r="X8" s="41" t="n"/>
      <c r="Y8" s="41" t="n"/>
      <c r="Z8" s="41" t="n"/>
      <c r="AA8" s="41" t="n"/>
      <c r="AB8" s="41" t="n"/>
      <c r="AC8" s="41" t="n"/>
      <c r="AD8" s="41" t="n"/>
      <c r="AE8" s="41" t="n"/>
      <c r="AF8" s="41" t="n"/>
      <c r="AG8" s="41" t="n"/>
      <c r="AH8" s="41" t="n"/>
      <c r="AI8" s="50">
        <f>IF(ISNUMBER(D8),D8,"")</f>
        <v/>
      </c>
      <c r="AJ8" s="50">
        <f>IF(AND(ISNUMBER(E8),ISNUMBER(F8)),MIN(E8,F8),"")</f>
        <v/>
      </c>
      <c r="AK8" s="50">
        <f>IF(AND(ISNUMBER(G8),ISNUMBER(H8)),MIN(G8,H8),"")</f>
        <v/>
      </c>
      <c r="AL8" s="50">
        <f>IF(AND(ISNUMBER(I8),ISNUMBER(J8)),IF(K8=1,0,MIN(I8,J8)),"")</f>
        <v/>
      </c>
      <c r="AM8" s="50">
        <f>IF(AND(ISNUMBER(L8),ISNUMBER(M8)),MIN(L8,M8),"")</f>
        <v/>
      </c>
      <c r="AN8" s="50">
        <f>IF(ISNUMBER(N8),IF(O8=1,0,N8),"")</f>
        <v/>
      </c>
      <c r="AO8" s="50">
        <f>IF(AND(ISNUMBER(P8),ISNUMBER(Q8)),IF(R8=1,0,MIN(P8,Q8)),"")</f>
        <v/>
      </c>
      <c r="AP8" s="50">
        <f>IF(COUNT(AI8:AO8)=7,SUM(AI8:AO8),"")</f>
        <v/>
      </c>
      <c r="AQ8" s="50">
        <f>IF(ISNUMBER(AP8),--(E8&lt;&gt;F8)+--(G8&lt;&gt;H8)+--(I8&lt;&gt;J8)+--(L8&lt;&gt;M8)+--(P8&lt;&gt;Q8),"")</f>
        <v/>
      </c>
      <c r="AR8" s="50">
        <f>IF(ISNUMBER(T8),T8,"")</f>
        <v/>
      </c>
      <c r="AS8" s="50">
        <f>IF(AND(ISNUMBER(U8),ISNUMBER(V8)),MIN(U8,V8),"")</f>
        <v/>
      </c>
      <c r="AT8" s="50">
        <f>IF(AND(ISNUMBER(W8),ISNUMBER(X8)),MIN(W8,X8),"")</f>
        <v/>
      </c>
      <c r="AU8" s="50">
        <f>IF(AND(ISNUMBER(Y8),ISNUMBER(Z8)),IF(AA8=1,0,MIN(Y8,Z8)),"")</f>
        <v/>
      </c>
      <c r="AV8" s="50">
        <f>IF(AND(ISNUMBER(AB8),ISNUMBER(AC8)),MIN(AB8,AC8),"")</f>
        <v/>
      </c>
      <c r="AW8" s="50">
        <f>IF(ISNUMBER(AD8),IF(AE8=1,0,AD8),"")</f>
        <v/>
      </c>
      <c r="AX8" s="50">
        <f>IF(AND(ISNUMBER(AF8),ISNUMBER(AG8)),IF(AH8=1,0,MIN(AF8,AG8)),"")</f>
        <v/>
      </c>
      <c r="AY8" s="50">
        <f>IF(COUNT(AR8:AX8)=7,SUM(AR8:AX8),"")</f>
        <v/>
      </c>
      <c r="AZ8" s="50">
        <f>IF(ISNUMBER(AY8),--(U8&lt;&gt;V8)+--(W8&lt;&gt;X8)+--(Y8&lt;&gt;Z8)+--(AB8&lt;&gt;AC8)+--(AF8&lt;&gt;AG8),"")</f>
        <v/>
      </c>
      <c r="BA8" s="51">
        <f>IF(A8="","",TRIM(IF(B8="ID없음","대상자_VO2max 시트에 없는 ID ","")&amp;IF(LEN(A8)&lt;&gt;LEN(TRIM(A8)),"ID 앞뒤 공백 ","")&amp;IF(COUNTIF($A$4:$A$33,A8)&gt;1,"ID 중복 ","")&amp;IF(COUNTIF('FMS'!$A$4:$A$33,A8)=0,"FMS(평가자1) 시트에 없는 ID ","")&amp;IF(AND(COUNT(D8,E8,F8,G8,H8,I8,J8,L8,M8,N8,P8,Q8)&gt;0,COUNT(D8,E8,F8,G8,H8,I8,J8,L8,M8,N8,P8,Q8)&lt;12),"사전 동작점수 일부 빈칸 ","")&amp;IF(AND(COUNT(T8,U8,V8,W8,X8,Y8,Z8,AB8,AC8,AD8,AF8,AG8)&gt;0,COUNT(T8,U8,V8,W8,X8,Y8,Z8,AB8,AC8,AD8,AF8,AG8)&lt;12),"사후 동작점수 일부 빈칸 ","")))</f>
        <v/>
      </c>
    </row>
    <row r="9">
      <c r="A9" s="40" t="n"/>
      <c r="B9" s="50">
        <f>IF($A9="","",IFERROR(IF(INDEX('대상자_VO2max'!$B$4:$B$33,MATCH($A9,'대상자_VO2max'!$A$4:$A$33,0))="","",INDEX('대상자_VO2max'!$B$4:$B$33,MATCH($A9,'대상자_VO2max'!$A$4:$A$33,0))),"ID없음"))</f>
        <v/>
      </c>
      <c r="C9" s="40" t="n"/>
      <c r="D9" s="41" t="n"/>
      <c r="E9" s="41" t="n"/>
      <c r="F9" s="41" t="n"/>
      <c r="G9" s="41" t="n"/>
      <c r="H9" s="41" t="n"/>
      <c r="I9" s="41" t="n"/>
      <c r="J9" s="41" t="n"/>
      <c r="K9" s="41" t="n"/>
      <c r="L9" s="41" t="n"/>
      <c r="M9" s="41" t="n"/>
      <c r="N9" s="41" t="n"/>
      <c r="O9" s="41" t="n"/>
      <c r="P9" s="41" t="n"/>
      <c r="Q9" s="41" t="n"/>
      <c r="R9" s="41" t="n"/>
      <c r="S9" s="40" t="n"/>
      <c r="T9" s="41" t="n"/>
      <c r="U9" s="41" t="n"/>
      <c r="V9" s="41" t="n"/>
      <c r="W9" s="41" t="n"/>
      <c r="X9" s="41" t="n"/>
      <c r="Y9" s="41" t="n"/>
      <c r="Z9" s="41" t="n"/>
      <c r="AA9" s="41" t="n"/>
      <c r="AB9" s="41" t="n"/>
      <c r="AC9" s="41" t="n"/>
      <c r="AD9" s="41" t="n"/>
      <c r="AE9" s="41" t="n"/>
      <c r="AF9" s="41" t="n"/>
      <c r="AG9" s="41" t="n"/>
      <c r="AH9" s="41" t="n"/>
      <c r="AI9" s="50">
        <f>IF(ISNUMBER(D9),D9,"")</f>
        <v/>
      </c>
      <c r="AJ9" s="50">
        <f>IF(AND(ISNUMBER(E9),ISNUMBER(F9)),MIN(E9,F9),"")</f>
        <v/>
      </c>
      <c r="AK9" s="50">
        <f>IF(AND(ISNUMBER(G9),ISNUMBER(H9)),MIN(G9,H9),"")</f>
        <v/>
      </c>
      <c r="AL9" s="50">
        <f>IF(AND(ISNUMBER(I9),ISNUMBER(J9)),IF(K9=1,0,MIN(I9,J9)),"")</f>
        <v/>
      </c>
      <c r="AM9" s="50">
        <f>IF(AND(ISNUMBER(L9),ISNUMBER(M9)),MIN(L9,M9),"")</f>
        <v/>
      </c>
      <c r="AN9" s="50">
        <f>IF(ISNUMBER(N9),IF(O9=1,0,N9),"")</f>
        <v/>
      </c>
      <c r="AO9" s="50">
        <f>IF(AND(ISNUMBER(P9),ISNUMBER(Q9)),IF(R9=1,0,MIN(P9,Q9)),"")</f>
        <v/>
      </c>
      <c r="AP9" s="50">
        <f>IF(COUNT(AI9:AO9)=7,SUM(AI9:AO9),"")</f>
        <v/>
      </c>
      <c r="AQ9" s="50">
        <f>IF(ISNUMBER(AP9),--(E9&lt;&gt;F9)+--(G9&lt;&gt;H9)+--(I9&lt;&gt;J9)+--(L9&lt;&gt;M9)+--(P9&lt;&gt;Q9),"")</f>
        <v/>
      </c>
      <c r="AR9" s="50">
        <f>IF(ISNUMBER(T9),T9,"")</f>
        <v/>
      </c>
      <c r="AS9" s="50">
        <f>IF(AND(ISNUMBER(U9),ISNUMBER(V9)),MIN(U9,V9),"")</f>
        <v/>
      </c>
      <c r="AT9" s="50">
        <f>IF(AND(ISNUMBER(W9),ISNUMBER(X9)),MIN(W9,X9),"")</f>
        <v/>
      </c>
      <c r="AU9" s="50">
        <f>IF(AND(ISNUMBER(Y9),ISNUMBER(Z9)),IF(AA9=1,0,MIN(Y9,Z9)),"")</f>
        <v/>
      </c>
      <c r="AV9" s="50">
        <f>IF(AND(ISNUMBER(AB9),ISNUMBER(AC9)),MIN(AB9,AC9),"")</f>
        <v/>
      </c>
      <c r="AW9" s="50">
        <f>IF(ISNUMBER(AD9),IF(AE9=1,0,AD9),"")</f>
        <v/>
      </c>
      <c r="AX9" s="50">
        <f>IF(AND(ISNUMBER(AF9),ISNUMBER(AG9)),IF(AH9=1,0,MIN(AF9,AG9)),"")</f>
        <v/>
      </c>
      <c r="AY9" s="50">
        <f>IF(COUNT(AR9:AX9)=7,SUM(AR9:AX9),"")</f>
        <v/>
      </c>
      <c r="AZ9" s="50">
        <f>IF(ISNUMBER(AY9),--(U9&lt;&gt;V9)+--(W9&lt;&gt;X9)+--(Y9&lt;&gt;Z9)+--(AB9&lt;&gt;AC9)+--(AF9&lt;&gt;AG9),"")</f>
        <v/>
      </c>
      <c r="BA9" s="51">
        <f>IF(A9="","",TRIM(IF(B9="ID없음","대상자_VO2max 시트에 없는 ID ","")&amp;IF(LEN(A9)&lt;&gt;LEN(TRIM(A9)),"ID 앞뒤 공백 ","")&amp;IF(COUNTIF($A$4:$A$33,A9)&gt;1,"ID 중복 ","")&amp;IF(COUNTIF('FMS'!$A$4:$A$33,A9)=0,"FMS(평가자1) 시트에 없는 ID ","")&amp;IF(AND(COUNT(D9,E9,F9,G9,H9,I9,J9,L9,M9,N9,P9,Q9)&gt;0,COUNT(D9,E9,F9,G9,H9,I9,J9,L9,M9,N9,P9,Q9)&lt;12),"사전 동작점수 일부 빈칸 ","")&amp;IF(AND(COUNT(T9,U9,V9,W9,X9,Y9,Z9,AB9,AC9,AD9,AF9,AG9)&gt;0,COUNT(T9,U9,V9,W9,X9,Y9,Z9,AB9,AC9,AD9,AF9,AG9)&lt;12),"사후 동작점수 일부 빈칸 ","")))</f>
        <v/>
      </c>
    </row>
    <row r="10">
      <c r="A10" s="40" t="n"/>
      <c r="B10" s="50">
        <f>IF($A10="","",IFERROR(IF(INDEX('대상자_VO2max'!$B$4:$B$33,MATCH($A10,'대상자_VO2max'!$A$4:$A$33,0))="","",INDEX('대상자_VO2max'!$B$4:$B$33,MATCH($A10,'대상자_VO2max'!$A$4:$A$33,0))),"ID없음"))</f>
        <v/>
      </c>
      <c r="C10" s="40" t="n"/>
      <c r="D10" s="41" t="n"/>
      <c r="E10" s="41" t="n"/>
      <c r="F10" s="41" t="n"/>
      <c r="G10" s="41" t="n"/>
      <c r="H10" s="41" t="n"/>
      <c r="I10" s="41" t="n"/>
      <c r="J10" s="41" t="n"/>
      <c r="K10" s="41" t="n"/>
      <c r="L10" s="41" t="n"/>
      <c r="M10" s="41" t="n"/>
      <c r="N10" s="41" t="n"/>
      <c r="O10" s="41" t="n"/>
      <c r="P10" s="41" t="n"/>
      <c r="Q10" s="41" t="n"/>
      <c r="R10" s="41" t="n"/>
      <c r="S10" s="40" t="n"/>
      <c r="T10" s="41" t="n"/>
      <c r="U10" s="41" t="n"/>
      <c r="V10" s="41" t="n"/>
      <c r="W10" s="41" t="n"/>
      <c r="X10" s="41" t="n"/>
      <c r="Y10" s="41" t="n"/>
      <c r="Z10" s="41" t="n"/>
      <c r="AA10" s="41" t="n"/>
      <c r="AB10" s="41" t="n"/>
      <c r="AC10" s="41" t="n"/>
      <c r="AD10" s="41" t="n"/>
      <c r="AE10" s="41" t="n"/>
      <c r="AF10" s="41" t="n"/>
      <c r="AG10" s="41" t="n"/>
      <c r="AH10" s="41" t="n"/>
      <c r="AI10" s="50">
        <f>IF(ISNUMBER(D10),D10,"")</f>
        <v/>
      </c>
      <c r="AJ10" s="50">
        <f>IF(AND(ISNUMBER(E10),ISNUMBER(F10)),MIN(E10,F10),"")</f>
        <v/>
      </c>
      <c r="AK10" s="50">
        <f>IF(AND(ISNUMBER(G10),ISNUMBER(H10)),MIN(G10,H10),"")</f>
        <v/>
      </c>
      <c r="AL10" s="50">
        <f>IF(AND(ISNUMBER(I10),ISNUMBER(J10)),IF(K10=1,0,MIN(I10,J10)),"")</f>
        <v/>
      </c>
      <c r="AM10" s="50">
        <f>IF(AND(ISNUMBER(L10),ISNUMBER(M10)),MIN(L10,M10),"")</f>
        <v/>
      </c>
      <c r="AN10" s="50">
        <f>IF(ISNUMBER(N10),IF(O10=1,0,N10),"")</f>
        <v/>
      </c>
      <c r="AO10" s="50">
        <f>IF(AND(ISNUMBER(P10),ISNUMBER(Q10)),IF(R10=1,0,MIN(P10,Q10)),"")</f>
        <v/>
      </c>
      <c r="AP10" s="50">
        <f>IF(COUNT(AI10:AO10)=7,SUM(AI10:AO10),"")</f>
        <v/>
      </c>
      <c r="AQ10" s="50">
        <f>IF(ISNUMBER(AP10),--(E10&lt;&gt;F10)+--(G10&lt;&gt;H10)+--(I10&lt;&gt;J10)+--(L10&lt;&gt;M10)+--(P10&lt;&gt;Q10),"")</f>
        <v/>
      </c>
      <c r="AR10" s="50">
        <f>IF(ISNUMBER(T10),T10,"")</f>
        <v/>
      </c>
      <c r="AS10" s="50">
        <f>IF(AND(ISNUMBER(U10),ISNUMBER(V10)),MIN(U10,V10),"")</f>
        <v/>
      </c>
      <c r="AT10" s="50">
        <f>IF(AND(ISNUMBER(W10),ISNUMBER(X10)),MIN(W10,X10),"")</f>
        <v/>
      </c>
      <c r="AU10" s="50">
        <f>IF(AND(ISNUMBER(Y10),ISNUMBER(Z10)),IF(AA10=1,0,MIN(Y10,Z10)),"")</f>
        <v/>
      </c>
      <c r="AV10" s="50">
        <f>IF(AND(ISNUMBER(AB10),ISNUMBER(AC10)),MIN(AB10,AC10),"")</f>
        <v/>
      </c>
      <c r="AW10" s="50">
        <f>IF(ISNUMBER(AD10),IF(AE10=1,0,AD10),"")</f>
        <v/>
      </c>
      <c r="AX10" s="50">
        <f>IF(AND(ISNUMBER(AF10),ISNUMBER(AG10)),IF(AH10=1,0,MIN(AF10,AG10)),"")</f>
        <v/>
      </c>
      <c r="AY10" s="50">
        <f>IF(COUNT(AR10:AX10)=7,SUM(AR10:AX10),"")</f>
        <v/>
      </c>
      <c r="AZ10" s="50">
        <f>IF(ISNUMBER(AY10),--(U10&lt;&gt;V10)+--(W10&lt;&gt;X10)+--(Y10&lt;&gt;Z10)+--(AB10&lt;&gt;AC10)+--(AF10&lt;&gt;AG10),"")</f>
        <v/>
      </c>
      <c r="BA10" s="51">
        <f>IF(A10="","",TRIM(IF(B10="ID없음","대상자_VO2max 시트에 없는 ID ","")&amp;IF(LEN(A10)&lt;&gt;LEN(TRIM(A10)),"ID 앞뒤 공백 ","")&amp;IF(COUNTIF($A$4:$A$33,A10)&gt;1,"ID 중복 ","")&amp;IF(COUNTIF('FMS'!$A$4:$A$33,A10)=0,"FMS(평가자1) 시트에 없는 ID ","")&amp;IF(AND(COUNT(D10,E10,F10,G10,H10,I10,J10,L10,M10,N10,P10,Q10)&gt;0,COUNT(D10,E10,F10,G10,H10,I10,J10,L10,M10,N10,P10,Q10)&lt;12),"사전 동작점수 일부 빈칸 ","")&amp;IF(AND(COUNT(T10,U10,V10,W10,X10,Y10,Z10,AB10,AC10,AD10,AF10,AG10)&gt;0,COUNT(T10,U10,V10,W10,X10,Y10,Z10,AB10,AC10,AD10,AF10,AG10)&lt;12),"사후 동작점수 일부 빈칸 ","")))</f>
        <v/>
      </c>
    </row>
    <row r="11">
      <c r="A11" s="40" t="n"/>
      <c r="B11" s="50">
        <f>IF($A11="","",IFERROR(IF(INDEX('대상자_VO2max'!$B$4:$B$33,MATCH($A11,'대상자_VO2max'!$A$4:$A$33,0))="","",INDEX('대상자_VO2max'!$B$4:$B$33,MATCH($A11,'대상자_VO2max'!$A$4:$A$33,0))),"ID없음"))</f>
        <v/>
      </c>
      <c r="C11" s="40" t="n"/>
      <c r="D11" s="41" t="n"/>
      <c r="E11" s="41" t="n"/>
      <c r="F11" s="41" t="n"/>
      <c r="G11" s="41" t="n"/>
      <c r="H11" s="41" t="n"/>
      <c r="I11" s="41" t="n"/>
      <c r="J11" s="41" t="n"/>
      <c r="K11" s="41" t="n"/>
      <c r="L11" s="41" t="n"/>
      <c r="M11" s="41" t="n"/>
      <c r="N11" s="41" t="n"/>
      <c r="O11" s="41" t="n"/>
      <c r="P11" s="41" t="n"/>
      <c r="Q11" s="41" t="n"/>
      <c r="R11" s="41" t="n"/>
      <c r="S11" s="40" t="n"/>
      <c r="T11" s="41" t="n"/>
      <c r="U11" s="41" t="n"/>
      <c r="V11" s="41" t="n"/>
      <c r="W11" s="41" t="n"/>
      <c r="X11" s="41" t="n"/>
      <c r="Y11" s="41" t="n"/>
      <c r="Z11" s="41" t="n"/>
      <c r="AA11" s="41" t="n"/>
      <c r="AB11" s="41" t="n"/>
      <c r="AC11" s="41" t="n"/>
      <c r="AD11" s="41" t="n"/>
      <c r="AE11" s="41" t="n"/>
      <c r="AF11" s="41" t="n"/>
      <c r="AG11" s="41" t="n"/>
      <c r="AH11" s="41" t="n"/>
      <c r="AI11" s="50">
        <f>IF(ISNUMBER(D11),D11,"")</f>
        <v/>
      </c>
      <c r="AJ11" s="50">
        <f>IF(AND(ISNUMBER(E11),ISNUMBER(F11)),MIN(E11,F11),"")</f>
        <v/>
      </c>
      <c r="AK11" s="50">
        <f>IF(AND(ISNUMBER(G11),ISNUMBER(H11)),MIN(G11,H11),"")</f>
        <v/>
      </c>
      <c r="AL11" s="50">
        <f>IF(AND(ISNUMBER(I11),ISNUMBER(J11)),IF(K11=1,0,MIN(I11,J11)),"")</f>
        <v/>
      </c>
      <c r="AM11" s="50">
        <f>IF(AND(ISNUMBER(L11),ISNUMBER(M11)),MIN(L11,M11),"")</f>
        <v/>
      </c>
      <c r="AN11" s="50">
        <f>IF(ISNUMBER(N11),IF(O11=1,0,N11),"")</f>
        <v/>
      </c>
      <c r="AO11" s="50">
        <f>IF(AND(ISNUMBER(P11),ISNUMBER(Q11)),IF(R11=1,0,MIN(P11,Q11)),"")</f>
        <v/>
      </c>
      <c r="AP11" s="50">
        <f>IF(COUNT(AI11:AO11)=7,SUM(AI11:AO11),"")</f>
        <v/>
      </c>
      <c r="AQ11" s="50">
        <f>IF(ISNUMBER(AP11),--(E11&lt;&gt;F11)+--(G11&lt;&gt;H11)+--(I11&lt;&gt;J11)+--(L11&lt;&gt;M11)+--(P11&lt;&gt;Q11),"")</f>
        <v/>
      </c>
      <c r="AR11" s="50">
        <f>IF(ISNUMBER(T11),T11,"")</f>
        <v/>
      </c>
      <c r="AS11" s="50">
        <f>IF(AND(ISNUMBER(U11),ISNUMBER(V11)),MIN(U11,V11),"")</f>
        <v/>
      </c>
      <c r="AT11" s="50">
        <f>IF(AND(ISNUMBER(W11),ISNUMBER(X11)),MIN(W11,X11),"")</f>
        <v/>
      </c>
      <c r="AU11" s="50">
        <f>IF(AND(ISNUMBER(Y11),ISNUMBER(Z11)),IF(AA11=1,0,MIN(Y11,Z11)),"")</f>
        <v/>
      </c>
      <c r="AV11" s="50">
        <f>IF(AND(ISNUMBER(AB11),ISNUMBER(AC11)),MIN(AB11,AC11),"")</f>
        <v/>
      </c>
      <c r="AW11" s="50">
        <f>IF(ISNUMBER(AD11),IF(AE11=1,0,AD11),"")</f>
        <v/>
      </c>
      <c r="AX11" s="50">
        <f>IF(AND(ISNUMBER(AF11),ISNUMBER(AG11)),IF(AH11=1,0,MIN(AF11,AG11)),"")</f>
        <v/>
      </c>
      <c r="AY11" s="50">
        <f>IF(COUNT(AR11:AX11)=7,SUM(AR11:AX11),"")</f>
        <v/>
      </c>
      <c r="AZ11" s="50">
        <f>IF(ISNUMBER(AY11),--(U11&lt;&gt;V11)+--(W11&lt;&gt;X11)+--(Y11&lt;&gt;Z11)+--(AB11&lt;&gt;AC11)+--(AF11&lt;&gt;AG11),"")</f>
        <v/>
      </c>
      <c r="BA11" s="51">
        <f>IF(A11="","",TRIM(IF(B11="ID없음","대상자_VO2max 시트에 없는 ID ","")&amp;IF(LEN(A11)&lt;&gt;LEN(TRIM(A11)),"ID 앞뒤 공백 ","")&amp;IF(COUNTIF($A$4:$A$33,A11)&gt;1,"ID 중복 ","")&amp;IF(COUNTIF('FMS'!$A$4:$A$33,A11)=0,"FMS(평가자1) 시트에 없는 ID ","")&amp;IF(AND(COUNT(D11,E11,F11,G11,H11,I11,J11,L11,M11,N11,P11,Q11)&gt;0,COUNT(D11,E11,F11,G11,H11,I11,J11,L11,M11,N11,P11,Q11)&lt;12),"사전 동작점수 일부 빈칸 ","")&amp;IF(AND(COUNT(T11,U11,V11,W11,X11,Y11,Z11,AB11,AC11,AD11,AF11,AG11)&gt;0,COUNT(T11,U11,V11,W11,X11,Y11,Z11,AB11,AC11,AD11,AF11,AG11)&lt;12),"사후 동작점수 일부 빈칸 ","")))</f>
        <v/>
      </c>
    </row>
    <row r="12">
      <c r="A12" s="40" t="n"/>
      <c r="B12" s="50">
        <f>IF($A12="","",IFERROR(IF(INDEX('대상자_VO2max'!$B$4:$B$33,MATCH($A12,'대상자_VO2max'!$A$4:$A$33,0))="","",INDEX('대상자_VO2max'!$B$4:$B$33,MATCH($A12,'대상자_VO2max'!$A$4:$A$33,0))),"ID없음"))</f>
        <v/>
      </c>
      <c r="C12" s="40" t="n"/>
      <c r="D12" s="41" t="n"/>
      <c r="E12" s="41" t="n"/>
      <c r="F12" s="41" t="n"/>
      <c r="G12" s="41" t="n"/>
      <c r="H12" s="41" t="n"/>
      <c r="I12" s="41" t="n"/>
      <c r="J12" s="41" t="n"/>
      <c r="K12" s="41" t="n"/>
      <c r="L12" s="41" t="n"/>
      <c r="M12" s="41" t="n"/>
      <c r="N12" s="41" t="n"/>
      <c r="O12" s="41" t="n"/>
      <c r="P12" s="41" t="n"/>
      <c r="Q12" s="41" t="n"/>
      <c r="R12" s="41" t="n"/>
      <c r="S12" s="40" t="n"/>
      <c r="T12" s="41" t="n"/>
      <c r="U12" s="41" t="n"/>
      <c r="V12" s="41" t="n"/>
      <c r="W12" s="41" t="n"/>
      <c r="X12" s="41" t="n"/>
      <c r="Y12" s="41" t="n"/>
      <c r="Z12" s="41" t="n"/>
      <c r="AA12" s="41" t="n"/>
      <c r="AB12" s="41" t="n"/>
      <c r="AC12" s="41" t="n"/>
      <c r="AD12" s="41" t="n"/>
      <c r="AE12" s="41" t="n"/>
      <c r="AF12" s="41" t="n"/>
      <c r="AG12" s="41" t="n"/>
      <c r="AH12" s="41" t="n"/>
      <c r="AI12" s="50">
        <f>IF(ISNUMBER(D12),D12,"")</f>
        <v/>
      </c>
      <c r="AJ12" s="50">
        <f>IF(AND(ISNUMBER(E12),ISNUMBER(F12)),MIN(E12,F12),"")</f>
        <v/>
      </c>
      <c r="AK12" s="50">
        <f>IF(AND(ISNUMBER(G12),ISNUMBER(H12)),MIN(G12,H12),"")</f>
        <v/>
      </c>
      <c r="AL12" s="50">
        <f>IF(AND(ISNUMBER(I12),ISNUMBER(J12)),IF(K12=1,0,MIN(I12,J12)),"")</f>
        <v/>
      </c>
      <c r="AM12" s="50">
        <f>IF(AND(ISNUMBER(L12),ISNUMBER(M12)),MIN(L12,M12),"")</f>
        <v/>
      </c>
      <c r="AN12" s="50">
        <f>IF(ISNUMBER(N12),IF(O12=1,0,N12),"")</f>
        <v/>
      </c>
      <c r="AO12" s="50">
        <f>IF(AND(ISNUMBER(P12),ISNUMBER(Q12)),IF(R12=1,0,MIN(P12,Q12)),"")</f>
        <v/>
      </c>
      <c r="AP12" s="50">
        <f>IF(COUNT(AI12:AO12)=7,SUM(AI12:AO12),"")</f>
        <v/>
      </c>
      <c r="AQ12" s="50">
        <f>IF(ISNUMBER(AP12),--(E12&lt;&gt;F12)+--(G12&lt;&gt;H12)+--(I12&lt;&gt;J12)+--(L12&lt;&gt;M12)+--(P12&lt;&gt;Q12),"")</f>
        <v/>
      </c>
      <c r="AR12" s="50">
        <f>IF(ISNUMBER(T12),T12,"")</f>
        <v/>
      </c>
      <c r="AS12" s="50">
        <f>IF(AND(ISNUMBER(U12),ISNUMBER(V12)),MIN(U12,V12),"")</f>
        <v/>
      </c>
      <c r="AT12" s="50">
        <f>IF(AND(ISNUMBER(W12),ISNUMBER(X12)),MIN(W12,X12),"")</f>
        <v/>
      </c>
      <c r="AU12" s="50">
        <f>IF(AND(ISNUMBER(Y12),ISNUMBER(Z12)),IF(AA12=1,0,MIN(Y12,Z12)),"")</f>
        <v/>
      </c>
      <c r="AV12" s="50">
        <f>IF(AND(ISNUMBER(AB12),ISNUMBER(AC12)),MIN(AB12,AC12),"")</f>
        <v/>
      </c>
      <c r="AW12" s="50">
        <f>IF(ISNUMBER(AD12),IF(AE12=1,0,AD12),"")</f>
        <v/>
      </c>
      <c r="AX12" s="50">
        <f>IF(AND(ISNUMBER(AF12),ISNUMBER(AG12)),IF(AH12=1,0,MIN(AF12,AG12)),"")</f>
        <v/>
      </c>
      <c r="AY12" s="50">
        <f>IF(COUNT(AR12:AX12)=7,SUM(AR12:AX12),"")</f>
        <v/>
      </c>
      <c r="AZ12" s="50">
        <f>IF(ISNUMBER(AY12),--(U12&lt;&gt;V12)+--(W12&lt;&gt;X12)+--(Y12&lt;&gt;Z12)+--(AB12&lt;&gt;AC12)+--(AF12&lt;&gt;AG12),"")</f>
        <v/>
      </c>
      <c r="BA12" s="51">
        <f>IF(A12="","",TRIM(IF(B12="ID없음","대상자_VO2max 시트에 없는 ID ","")&amp;IF(LEN(A12)&lt;&gt;LEN(TRIM(A12)),"ID 앞뒤 공백 ","")&amp;IF(COUNTIF($A$4:$A$33,A12)&gt;1,"ID 중복 ","")&amp;IF(COUNTIF('FMS'!$A$4:$A$33,A12)=0,"FMS(평가자1) 시트에 없는 ID ","")&amp;IF(AND(COUNT(D12,E12,F12,G12,H12,I12,J12,L12,M12,N12,P12,Q12)&gt;0,COUNT(D12,E12,F12,G12,H12,I12,J12,L12,M12,N12,P12,Q12)&lt;12),"사전 동작점수 일부 빈칸 ","")&amp;IF(AND(COUNT(T12,U12,V12,W12,X12,Y12,Z12,AB12,AC12,AD12,AF12,AG12)&gt;0,COUNT(T12,U12,V12,W12,X12,Y12,Z12,AB12,AC12,AD12,AF12,AG12)&lt;12),"사후 동작점수 일부 빈칸 ","")))</f>
        <v/>
      </c>
    </row>
    <row r="13">
      <c r="A13" s="40" t="n"/>
      <c r="B13" s="50">
        <f>IF($A13="","",IFERROR(IF(INDEX('대상자_VO2max'!$B$4:$B$33,MATCH($A13,'대상자_VO2max'!$A$4:$A$33,0))="","",INDEX('대상자_VO2max'!$B$4:$B$33,MATCH($A13,'대상자_VO2max'!$A$4:$A$33,0))),"ID없음"))</f>
        <v/>
      </c>
      <c r="C13" s="40" t="n"/>
      <c r="D13" s="41" t="n"/>
      <c r="E13" s="41" t="n"/>
      <c r="F13" s="41" t="n"/>
      <c r="G13" s="41" t="n"/>
      <c r="H13" s="41" t="n"/>
      <c r="I13" s="41" t="n"/>
      <c r="J13" s="41" t="n"/>
      <c r="K13" s="41" t="n"/>
      <c r="L13" s="41" t="n"/>
      <c r="M13" s="41" t="n"/>
      <c r="N13" s="41" t="n"/>
      <c r="O13" s="41" t="n"/>
      <c r="P13" s="41" t="n"/>
      <c r="Q13" s="41" t="n"/>
      <c r="R13" s="41" t="n"/>
      <c r="S13" s="40" t="n"/>
      <c r="T13" s="41" t="n"/>
      <c r="U13" s="41" t="n"/>
      <c r="V13" s="41" t="n"/>
      <c r="W13" s="41" t="n"/>
      <c r="X13" s="41" t="n"/>
      <c r="Y13" s="41" t="n"/>
      <c r="Z13" s="41" t="n"/>
      <c r="AA13" s="41" t="n"/>
      <c r="AB13" s="41" t="n"/>
      <c r="AC13" s="41" t="n"/>
      <c r="AD13" s="41" t="n"/>
      <c r="AE13" s="41" t="n"/>
      <c r="AF13" s="41" t="n"/>
      <c r="AG13" s="41" t="n"/>
      <c r="AH13" s="41" t="n"/>
      <c r="AI13" s="50">
        <f>IF(ISNUMBER(D13),D13,"")</f>
        <v/>
      </c>
      <c r="AJ13" s="50">
        <f>IF(AND(ISNUMBER(E13),ISNUMBER(F13)),MIN(E13,F13),"")</f>
        <v/>
      </c>
      <c r="AK13" s="50">
        <f>IF(AND(ISNUMBER(G13),ISNUMBER(H13)),MIN(G13,H13),"")</f>
        <v/>
      </c>
      <c r="AL13" s="50">
        <f>IF(AND(ISNUMBER(I13),ISNUMBER(J13)),IF(K13=1,0,MIN(I13,J13)),"")</f>
        <v/>
      </c>
      <c r="AM13" s="50">
        <f>IF(AND(ISNUMBER(L13),ISNUMBER(M13)),MIN(L13,M13),"")</f>
        <v/>
      </c>
      <c r="AN13" s="50">
        <f>IF(ISNUMBER(N13),IF(O13=1,0,N13),"")</f>
        <v/>
      </c>
      <c r="AO13" s="50">
        <f>IF(AND(ISNUMBER(P13),ISNUMBER(Q13)),IF(R13=1,0,MIN(P13,Q13)),"")</f>
        <v/>
      </c>
      <c r="AP13" s="50">
        <f>IF(COUNT(AI13:AO13)=7,SUM(AI13:AO13),"")</f>
        <v/>
      </c>
      <c r="AQ13" s="50">
        <f>IF(ISNUMBER(AP13),--(E13&lt;&gt;F13)+--(G13&lt;&gt;H13)+--(I13&lt;&gt;J13)+--(L13&lt;&gt;M13)+--(P13&lt;&gt;Q13),"")</f>
        <v/>
      </c>
      <c r="AR13" s="50">
        <f>IF(ISNUMBER(T13),T13,"")</f>
        <v/>
      </c>
      <c r="AS13" s="50">
        <f>IF(AND(ISNUMBER(U13),ISNUMBER(V13)),MIN(U13,V13),"")</f>
        <v/>
      </c>
      <c r="AT13" s="50">
        <f>IF(AND(ISNUMBER(W13),ISNUMBER(X13)),MIN(W13,X13),"")</f>
        <v/>
      </c>
      <c r="AU13" s="50">
        <f>IF(AND(ISNUMBER(Y13),ISNUMBER(Z13)),IF(AA13=1,0,MIN(Y13,Z13)),"")</f>
        <v/>
      </c>
      <c r="AV13" s="50">
        <f>IF(AND(ISNUMBER(AB13),ISNUMBER(AC13)),MIN(AB13,AC13),"")</f>
        <v/>
      </c>
      <c r="AW13" s="50">
        <f>IF(ISNUMBER(AD13),IF(AE13=1,0,AD13),"")</f>
        <v/>
      </c>
      <c r="AX13" s="50">
        <f>IF(AND(ISNUMBER(AF13),ISNUMBER(AG13)),IF(AH13=1,0,MIN(AF13,AG13)),"")</f>
        <v/>
      </c>
      <c r="AY13" s="50">
        <f>IF(COUNT(AR13:AX13)=7,SUM(AR13:AX13),"")</f>
        <v/>
      </c>
      <c r="AZ13" s="50">
        <f>IF(ISNUMBER(AY13),--(U13&lt;&gt;V13)+--(W13&lt;&gt;X13)+--(Y13&lt;&gt;Z13)+--(AB13&lt;&gt;AC13)+--(AF13&lt;&gt;AG13),"")</f>
        <v/>
      </c>
      <c r="BA13" s="51">
        <f>IF(A13="","",TRIM(IF(B13="ID없음","대상자_VO2max 시트에 없는 ID ","")&amp;IF(LEN(A13)&lt;&gt;LEN(TRIM(A13)),"ID 앞뒤 공백 ","")&amp;IF(COUNTIF($A$4:$A$33,A13)&gt;1,"ID 중복 ","")&amp;IF(COUNTIF('FMS'!$A$4:$A$33,A13)=0,"FMS(평가자1) 시트에 없는 ID ","")&amp;IF(AND(COUNT(D13,E13,F13,G13,H13,I13,J13,L13,M13,N13,P13,Q13)&gt;0,COUNT(D13,E13,F13,G13,H13,I13,J13,L13,M13,N13,P13,Q13)&lt;12),"사전 동작점수 일부 빈칸 ","")&amp;IF(AND(COUNT(T13,U13,V13,W13,X13,Y13,Z13,AB13,AC13,AD13,AF13,AG13)&gt;0,COUNT(T13,U13,V13,W13,X13,Y13,Z13,AB13,AC13,AD13,AF13,AG13)&lt;12),"사후 동작점수 일부 빈칸 ","")))</f>
        <v/>
      </c>
    </row>
    <row r="14">
      <c r="A14" s="40" t="n"/>
      <c r="B14" s="50">
        <f>IF($A14="","",IFERROR(IF(INDEX('대상자_VO2max'!$B$4:$B$33,MATCH($A14,'대상자_VO2max'!$A$4:$A$33,0))="","",INDEX('대상자_VO2max'!$B$4:$B$33,MATCH($A14,'대상자_VO2max'!$A$4:$A$33,0))),"ID없음"))</f>
        <v/>
      </c>
      <c r="C14" s="40" t="n"/>
      <c r="D14" s="41" t="n"/>
      <c r="E14" s="41" t="n"/>
      <c r="F14" s="41" t="n"/>
      <c r="G14" s="41" t="n"/>
      <c r="H14" s="41" t="n"/>
      <c r="I14" s="41" t="n"/>
      <c r="J14" s="41" t="n"/>
      <c r="K14" s="41" t="n"/>
      <c r="L14" s="41" t="n"/>
      <c r="M14" s="41" t="n"/>
      <c r="N14" s="41" t="n"/>
      <c r="O14" s="41" t="n"/>
      <c r="P14" s="41" t="n"/>
      <c r="Q14" s="41" t="n"/>
      <c r="R14" s="41" t="n"/>
      <c r="S14" s="40" t="n"/>
      <c r="T14" s="41" t="n"/>
      <c r="U14" s="41" t="n"/>
      <c r="V14" s="41" t="n"/>
      <c r="W14" s="41" t="n"/>
      <c r="X14" s="41" t="n"/>
      <c r="Y14" s="41" t="n"/>
      <c r="Z14" s="41" t="n"/>
      <c r="AA14" s="41" t="n"/>
      <c r="AB14" s="41" t="n"/>
      <c r="AC14" s="41" t="n"/>
      <c r="AD14" s="41" t="n"/>
      <c r="AE14" s="41" t="n"/>
      <c r="AF14" s="41" t="n"/>
      <c r="AG14" s="41" t="n"/>
      <c r="AH14" s="41" t="n"/>
      <c r="AI14" s="50">
        <f>IF(ISNUMBER(D14),D14,"")</f>
        <v/>
      </c>
      <c r="AJ14" s="50">
        <f>IF(AND(ISNUMBER(E14),ISNUMBER(F14)),MIN(E14,F14),"")</f>
        <v/>
      </c>
      <c r="AK14" s="50">
        <f>IF(AND(ISNUMBER(G14),ISNUMBER(H14)),MIN(G14,H14),"")</f>
        <v/>
      </c>
      <c r="AL14" s="50">
        <f>IF(AND(ISNUMBER(I14),ISNUMBER(J14)),IF(K14=1,0,MIN(I14,J14)),"")</f>
        <v/>
      </c>
      <c r="AM14" s="50">
        <f>IF(AND(ISNUMBER(L14),ISNUMBER(M14)),MIN(L14,M14),"")</f>
        <v/>
      </c>
      <c r="AN14" s="50">
        <f>IF(ISNUMBER(N14),IF(O14=1,0,N14),"")</f>
        <v/>
      </c>
      <c r="AO14" s="50">
        <f>IF(AND(ISNUMBER(P14),ISNUMBER(Q14)),IF(R14=1,0,MIN(P14,Q14)),"")</f>
        <v/>
      </c>
      <c r="AP14" s="50">
        <f>IF(COUNT(AI14:AO14)=7,SUM(AI14:AO14),"")</f>
        <v/>
      </c>
      <c r="AQ14" s="50">
        <f>IF(ISNUMBER(AP14),--(E14&lt;&gt;F14)+--(G14&lt;&gt;H14)+--(I14&lt;&gt;J14)+--(L14&lt;&gt;M14)+--(P14&lt;&gt;Q14),"")</f>
        <v/>
      </c>
      <c r="AR14" s="50">
        <f>IF(ISNUMBER(T14),T14,"")</f>
        <v/>
      </c>
      <c r="AS14" s="50">
        <f>IF(AND(ISNUMBER(U14),ISNUMBER(V14)),MIN(U14,V14),"")</f>
        <v/>
      </c>
      <c r="AT14" s="50">
        <f>IF(AND(ISNUMBER(W14),ISNUMBER(X14)),MIN(W14,X14),"")</f>
        <v/>
      </c>
      <c r="AU14" s="50">
        <f>IF(AND(ISNUMBER(Y14),ISNUMBER(Z14)),IF(AA14=1,0,MIN(Y14,Z14)),"")</f>
        <v/>
      </c>
      <c r="AV14" s="50">
        <f>IF(AND(ISNUMBER(AB14),ISNUMBER(AC14)),MIN(AB14,AC14),"")</f>
        <v/>
      </c>
      <c r="AW14" s="50">
        <f>IF(ISNUMBER(AD14),IF(AE14=1,0,AD14),"")</f>
        <v/>
      </c>
      <c r="AX14" s="50">
        <f>IF(AND(ISNUMBER(AF14),ISNUMBER(AG14)),IF(AH14=1,0,MIN(AF14,AG14)),"")</f>
        <v/>
      </c>
      <c r="AY14" s="50">
        <f>IF(COUNT(AR14:AX14)=7,SUM(AR14:AX14),"")</f>
        <v/>
      </c>
      <c r="AZ14" s="50">
        <f>IF(ISNUMBER(AY14),--(U14&lt;&gt;V14)+--(W14&lt;&gt;X14)+--(Y14&lt;&gt;Z14)+--(AB14&lt;&gt;AC14)+--(AF14&lt;&gt;AG14),"")</f>
        <v/>
      </c>
      <c r="BA14" s="51">
        <f>IF(A14="","",TRIM(IF(B14="ID없음","대상자_VO2max 시트에 없는 ID ","")&amp;IF(LEN(A14)&lt;&gt;LEN(TRIM(A14)),"ID 앞뒤 공백 ","")&amp;IF(COUNTIF($A$4:$A$33,A14)&gt;1,"ID 중복 ","")&amp;IF(COUNTIF('FMS'!$A$4:$A$33,A14)=0,"FMS(평가자1) 시트에 없는 ID ","")&amp;IF(AND(COUNT(D14,E14,F14,G14,H14,I14,J14,L14,M14,N14,P14,Q14)&gt;0,COUNT(D14,E14,F14,G14,H14,I14,J14,L14,M14,N14,P14,Q14)&lt;12),"사전 동작점수 일부 빈칸 ","")&amp;IF(AND(COUNT(T14,U14,V14,W14,X14,Y14,Z14,AB14,AC14,AD14,AF14,AG14)&gt;0,COUNT(T14,U14,V14,W14,X14,Y14,Z14,AB14,AC14,AD14,AF14,AG14)&lt;12),"사후 동작점수 일부 빈칸 ","")))</f>
        <v/>
      </c>
    </row>
    <row r="15">
      <c r="A15" s="40" t="n"/>
      <c r="B15" s="50">
        <f>IF($A15="","",IFERROR(IF(INDEX('대상자_VO2max'!$B$4:$B$33,MATCH($A15,'대상자_VO2max'!$A$4:$A$33,0))="","",INDEX('대상자_VO2max'!$B$4:$B$33,MATCH($A15,'대상자_VO2max'!$A$4:$A$33,0))),"ID없음"))</f>
        <v/>
      </c>
      <c r="C15" s="40" t="n"/>
      <c r="D15" s="41" t="n"/>
      <c r="E15" s="41" t="n"/>
      <c r="F15" s="41" t="n"/>
      <c r="G15" s="41" t="n"/>
      <c r="H15" s="41" t="n"/>
      <c r="I15" s="41" t="n"/>
      <c r="J15" s="41" t="n"/>
      <c r="K15" s="41" t="n"/>
      <c r="L15" s="41" t="n"/>
      <c r="M15" s="41" t="n"/>
      <c r="N15" s="41" t="n"/>
      <c r="O15" s="41" t="n"/>
      <c r="P15" s="41" t="n"/>
      <c r="Q15" s="41" t="n"/>
      <c r="R15" s="41" t="n"/>
      <c r="S15" s="40" t="n"/>
      <c r="T15" s="41" t="n"/>
      <c r="U15" s="41" t="n"/>
      <c r="V15" s="41" t="n"/>
      <c r="W15" s="41" t="n"/>
      <c r="X15" s="41" t="n"/>
      <c r="Y15" s="41" t="n"/>
      <c r="Z15" s="41" t="n"/>
      <c r="AA15" s="41" t="n"/>
      <c r="AB15" s="41" t="n"/>
      <c r="AC15" s="41" t="n"/>
      <c r="AD15" s="41" t="n"/>
      <c r="AE15" s="41" t="n"/>
      <c r="AF15" s="41" t="n"/>
      <c r="AG15" s="41" t="n"/>
      <c r="AH15" s="41" t="n"/>
      <c r="AI15" s="50">
        <f>IF(ISNUMBER(D15),D15,"")</f>
        <v/>
      </c>
      <c r="AJ15" s="50">
        <f>IF(AND(ISNUMBER(E15),ISNUMBER(F15)),MIN(E15,F15),"")</f>
        <v/>
      </c>
      <c r="AK15" s="50">
        <f>IF(AND(ISNUMBER(G15),ISNUMBER(H15)),MIN(G15,H15),"")</f>
        <v/>
      </c>
      <c r="AL15" s="50">
        <f>IF(AND(ISNUMBER(I15),ISNUMBER(J15)),IF(K15=1,0,MIN(I15,J15)),"")</f>
        <v/>
      </c>
      <c r="AM15" s="50">
        <f>IF(AND(ISNUMBER(L15),ISNUMBER(M15)),MIN(L15,M15),"")</f>
        <v/>
      </c>
      <c r="AN15" s="50">
        <f>IF(ISNUMBER(N15),IF(O15=1,0,N15),"")</f>
        <v/>
      </c>
      <c r="AO15" s="50">
        <f>IF(AND(ISNUMBER(P15),ISNUMBER(Q15)),IF(R15=1,0,MIN(P15,Q15)),"")</f>
        <v/>
      </c>
      <c r="AP15" s="50">
        <f>IF(COUNT(AI15:AO15)=7,SUM(AI15:AO15),"")</f>
        <v/>
      </c>
      <c r="AQ15" s="50">
        <f>IF(ISNUMBER(AP15),--(E15&lt;&gt;F15)+--(G15&lt;&gt;H15)+--(I15&lt;&gt;J15)+--(L15&lt;&gt;M15)+--(P15&lt;&gt;Q15),"")</f>
        <v/>
      </c>
      <c r="AR15" s="50">
        <f>IF(ISNUMBER(T15),T15,"")</f>
        <v/>
      </c>
      <c r="AS15" s="50">
        <f>IF(AND(ISNUMBER(U15),ISNUMBER(V15)),MIN(U15,V15),"")</f>
        <v/>
      </c>
      <c r="AT15" s="50">
        <f>IF(AND(ISNUMBER(W15),ISNUMBER(X15)),MIN(W15,X15),"")</f>
        <v/>
      </c>
      <c r="AU15" s="50">
        <f>IF(AND(ISNUMBER(Y15),ISNUMBER(Z15)),IF(AA15=1,0,MIN(Y15,Z15)),"")</f>
        <v/>
      </c>
      <c r="AV15" s="50">
        <f>IF(AND(ISNUMBER(AB15),ISNUMBER(AC15)),MIN(AB15,AC15),"")</f>
        <v/>
      </c>
      <c r="AW15" s="50">
        <f>IF(ISNUMBER(AD15),IF(AE15=1,0,AD15),"")</f>
        <v/>
      </c>
      <c r="AX15" s="50">
        <f>IF(AND(ISNUMBER(AF15),ISNUMBER(AG15)),IF(AH15=1,0,MIN(AF15,AG15)),"")</f>
        <v/>
      </c>
      <c r="AY15" s="50">
        <f>IF(COUNT(AR15:AX15)=7,SUM(AR15:AX15),"")</f>
        <v/>
      </c>
      <c r="AZ15" s="50">
        <f>IF(ISNUMBER(AY15),--(U15&lt;&gt;V15)+--(W15&lt;&gt;X15)+--(Y15&lt;&gt;Z15)+--(AB15&lt;&gt;AC15)+--(AF15&lt;&gt;AG15),"")</f>
        <v/>
      </c>
      <c r="BA15" s="51">
        <f>IF(A15="","",TRIM(IF(B15="ID없음","대상자_VO2max 시트에 없는 ID ","")&amp;IF(LEN(A15)&lt;&gt;LEN(TRIM(A15)),"ID 앞뒤 공백 ","")&amp;IF(COUNTIF($A$4:$A$33,A15)&gt;1,"ID 중복 ","")&amp;IF(COUNTIF('FMS'!$A$4:$A$33,A15)=0,"FMS(평가자1) 시트에 없는 ID ","")&amp;IF(AND(COUNT(D15,E15,F15,G15,H15,I15,J15,L15,M15,N15,P15,Q15)&gt;0,COUNT(D15,E15,F15,G15,H15,I15,J15,L15,M15,N15,P15,Q15)&lt;12),"사전 동작점수 일부 빈칸 ","")&amp;IF(AND(COUNT(T15,U15,V15,W15,X15,Y15,Z15,AB15,AC15,AD15,AF15,AG15)&gt;0,COUNT(T15,U15,V15,W15,X15,Y15,Z15,AB15,AC15,AD15,AF15,AG15)&lt;12),"사후 동작점수 일부 빈칸 ","")))</f>
        <v/>
      </c>
    </row>
    <row r="16">
      <c r="A16" s="40" t="n"/>
      <c r="B16" s="50">
        <f>IF($A16="","",IFERROR(IF(INDEX('대상자_VO2max'!$B$4:$B$33,MATCH($A16,'대상자_VO2max'!$A$4:$A$33,0))="","",INDEX('대상자_VO2max'!$B$4:$B$33,MATCH($A16,'대상자_VO2max'!$A$4:$A$33,0))),"ID없음"))</f>
        <v/>
      </c>
      <c r="C16" s="40" t="n"/>
      <c r="D16" s="41" t="n"/>
      <c r="E16" s="41" t="n"/>
      <c r="F16" s="41" t="n"/>
      <c r="G16" s="41" t="n"/>
      <c r="H16" s="41" t="n"/>
      <c r="I16" s="41" t="n"/>
      <c r="J16" s="41" t="n"/>
      <c r="K16" s="41" t="n"/>
      <c r="L16" s="41" t="n"/>
      <c r="M16" s="41" t="n"/>
      <c r="N16" s="41" t="n"/>
      <c r="O16" s="41" t="n"/>
      <c r="P16" s="41" t="n"/>
      <c r="Q16" s="41" t="n"/>
      <c r="R16" s="41" t="n"/>
      <c r="S16" s="40" t="n"/>
      <c r="T16" s="41" t="n"/>
      <c r="U16" s="41" t="n"/>
      <c r="V16" s="41" t="n"/>
      <c r="W16" s="41" t="n"/>
      <c r="X16" s="41" t="n"/>
      <c r="Y16" s="41" t="n"/>
      <c r="Z16" s="41" t="n"/>
      <c r="AA16" s="41" t="n"/>
      <c r="AB16" s="41" t="n"/>
      <c r="AC16" s="41" t="n"/>
      <c r="AD16" s="41" t="n"/>
      <c r="AE16" s="41" t="n"/>
      <c r="AF16" s="41" t="n"/>
      <c r="AG16" s="41" t="n"/>
      <c r="AH16" s="41" t="n"/>
      <c r="AI16" s="50">
        <f>IF(ISNUMBER(D16),D16,"")</f>
        <v/>
      </c>
      <c r="AJ16" s="50">
        <f>IF(AND(ISNUMBER(E16),ISNUMBER(F16)),MIN(E16,F16),"")</f>
        <v/>
      </c>
      <c r="AK16" s="50">
        <f>IF(AND(ISNUMBER(G16),ISNUMBER(H16)),MIN(G16,H16),"")</f>
        <v/>
      </c>
      <c r="AL16" s="50">
        <f>IF(AND(ISNUMBER(I16),ISNUMBER(J16)),IF(K16=1,0,MIN(I16,J16)),"")</f>
        <v/>
      </c>
      <c r="AM16" s="50">
        <f>IF(AND(ISNUMBER(L16),ISNUMBER(M16)),MIN(L16,M16),"")</f>
        <v/>
      </c>
      <c r="AN16" s="50">
        <f>IF(ISNUMBER(N16),IF(O16=1,0,N16),"")</f>
        <v/>
      </c>
      <c r="AO16" s="50">
        <f>IF(AND(ISNUMBER(P16),ISNUMBER(Q16)),IF(R16=1,0,MIN(P16,Q16)),"")</f>
        <v/>
      </c>
      <c r="AP16" s="50">
        <f>IF(COUNT(AI16:AO16)=7,SUM(AI16:AO16),"")</f>
        <v/>
      </c>
      <c r="AQ16" s="50">
        <f>IF(ISNUMBER(AP16),--(E16&lt;&gt;F16)+--(G16&lt;&gt;H16)+--(I16&lt;&gt;J16)+--(L16&lt;&gt;M16)+--(P16&lt;&gt;Q16),"")</f>
        <v/>
      </c>
      <c r="AR16" s="50">
        <f>IF(ISNUMBER(T16),T16,"")</f>
        <v/>
      </c>
      <c r="AS16" s="50">
        <f>IF(AND(ISNUMBER(U16),ISNUMBER(V16)),MIN(U16,V16),"")</f>
        <v/>
      </c>
      <c r="AT16" s="50">
        <f>IF(AND(ISNUMBER(W16),ISNUMBER(X16)),MIN(W16,X16),"")</f>
        <v/>
      </c>
      <c r="AU16" s="50">
        <f>IF(AND(ISNUMBER(Y16),ISNUMBER(Z16)),IF(AA16=1,0,MIN(Y16,Z16)),"")</f>
        <v/>
      </c>
      <c r="AV16" s="50">
        <f>IF(AND(ISNUMBER(AB16),ISNUMBER(AC16)),MIN(AB16,AC16),"")</f>
        <v/>
      </c>
      <c r="AW16" s="50">
        <f>IF(ISNUMBER(AD16),IF(AE16=1,0,AD16),"")</f>
        <v/>
      </c>
      <c r="AX16" s="50">
        <f>IF(AND(ISNUMBER(AF16),ISNUMBER(AG16)),IF(AH16=1,0,MIN(AF16,AG16)),"")</f>
        <v/>
      </c>
      <c r="AY16" s="50">
        <f>IF(COUNT(AR16:AX16)=7,SUM(AR16:AX16),"")</f>
        <v/>
      </c>
      <c r="AZ16" s="50">
        <f>IF(ISNUMBER(AY16),--(U16&lt;&gt;V16)+--(W16&lt;&gt;X16)+--(Y16&lt;&gt;Z16)+--(AB16&lt;&gt;AC16)+--(AF16&lt;&gt;AG16),"")</f>
        <v/>
      </c>
      <c r="BA16" s="51">
        <f>IF(A16="","",TRIM(IF(B16="ID없음","대상자_VO2max 시트에 없는 ID ","")&amp;IF(LEN(A16)&lt;&gt;LEN(TRIM(A16)),"ID 앞뒤 공백 ","")&amp;IF(COUNTIF($A$4:$A$33,A16)&gt;1,"ID 중복 ","")&amp;IF(COUNTIF('FMS'!$A$4:$A$33,A16)=0,"FMS(평가자1) 시트에 없는 ID ","")&amp;IF(AND(COUNT(D16,E16,F16,G16,H16,I16,J16,L16,M16,N16,P16,Q16)&gt;0,COUNT(D16,E16,F16,G16,H16,I16,J16,L16,M16,N16,P16,Q16)&lt;12),"사전 동작점수 일부 빈칸 ","")&amp;IF(AND(COUNT(T16,U16,V16,W16,X16,Y16,Z16,AB16,AC16,AD16,AF16,AG16)&gt;0,COUNT(T16,U16,V16,W16,X16,Y16,Z16,AB16,AC16,AD16,AF16,AG16)&lt;12),"사후 동작점수 일부 빈칸 ","")))</f>
        <v/>
      </c>
    </row>
    <row r="17">
      <c r="A17" s="40" t="n"/>
      <c r="B17" s="50">
        <f>IF($A17="","",IFERROR(IF(INDEX('대상자_VO2max'!$B$4:$B$33,MATCH($A17,'대상자_VO2max'!$A$4:$A$33,0))="","",INDEX('대상자_VO2max'!$B$4:$B$33,MATCH($A17,'대상자_VO2max'!$A$4:$A$33,0))),"ID없음"))</f>
        <v/>
      </c>
      <c r="C17" s="40" t="n"/>
      <c r="D17" s="41" t="n"/>
      <c r="E17" s="41" t="n"/>
      <c r="F17" s="41" t="n"/>
      <c r="G17" s="41" t="n"/>
      <c r="H17" s="41" t="n"/>
      <c r="I17" s="41" t="n"/>
      <c r="J17" s="41" t="n"/>
      <c r="K17" s="41" t="n"/>
      <c r="L17" s="41" t="n"/>
      <c r="M17" s="41" t="n"/>
      <c r="N17" s="41" t="n"/>
      <c r="O17" s="41" t="n"/>
      <c r="P17" s="41" t="n"/>
      <c r="Q17" s="41" t="n"/>
      <c r="R17" s="41" t="n"/>
      <c r="S17" s="40" t="n"/>
      <c r="T17" s="41" t="n"/>
      <c r="U17" s="41" t="n"/>
      <c r="V17" s="41" t="n"/>
      <c r="W17" s="41" t="n"/>
      <c r="X17" s="41" t="n"/>
      <c r="Y17" s="41" t="n"/>
      <c r="Z17" s="41" t="n"/>
      <c r="AA17" s="41" t="n"/>
      <c r="AB17" s="41" t="n"/>
      <c r="AC17" s="41" t="n"/>
      <c r="AD17" s="41" t="n"/>
      <c r="AE17" s="41" t="n"/>
      <c r="AF17" s="41" t="n"/>
      <c r="AG17" s="41" t="n"/>
      <c r="AH17" s="41" t="n"/>
      <c r="AI17" s="50">
        <f>IF(ISNUMBER(D17),D17,"")</f>
        <v/>
      </c>
      <c r="AJ17" s="50">
        <f>IF(AND(ISNUMBER(E17),ISNUMBER(F17)),MIN(E17,F17),"")</f>
        <v/>
      </c>
      <c r="AK17" s="50">
        <f>IF(AND(ISNUMBER(G17),ISNUMBER(H17)),MIN(G17,H17),"")</f>
        <v/>
      </c>
      <c r="AL17" s="50">
        <f>IF(AND(ISNUMBER(I17),ISNUMBER(J17)),IF(K17=1,0,MIN(I17,J17)),"")</f>
        <v/>
      </c>
      <c r="AM17" s="50">
        <f>IF(AND(ISNUMBER(L17),ISNUMBER(M17)),MIN(L17,M17),"")</f>
        <v/>
      </c>
      <c r="AN17" s="50">
        <f>IF(ISNUMBER(N17),IF(O17=1,0,N17),"")</f>
        <v/>
      </c>
      <c r="AO17" s="50">
        <f>IF(AND(ISNUMBER(P17),ISNUMBER(Q17)),IF(R17=1,0,MIN(P17,Q17)),"")</f>
        <v/>
      </c>
      <c r="AP17" s="50">
        <f>IF(COUNT(AI17:AO17)=7,SUM(AI17:AO17),"")</f>
        <v/>
      </c>
      <c r="AQ17" s="50">
        <f>IF(ISNUMBER(AP17),--(E17&lt;&gt;F17)+--(G17&lt;&gt;H17)+--(I17&lt;&gt;J17)+--(L17&lt;&gt;M17)+--(P17&lt;&gt;Q17),"")</f>
        <v/>
      </c>
      <c r="AR17" s="50">
        <f>IF(ISNUMBER(T17),T17,"")</f>
        <v/>
      </c>
      <c r="AS17" s="50">
        <f>IF(AND(ISNUMBER(U17),ISNUMBER(V17)),MIN(U17,V17),"")</f>
        <v/>
      </c>
      <c r="AT17" s="50">
        <f>IF(AND(ISNUMBER(W17),ISNUMBER(X17)),MIN(W17,X17),"")</f>
        <v/>
      </c>
      <c r="AU17" s="50">
        <f>IF(AND(ISNUMBER(Y17),ISNUMBER(Z17)),IF(AA17=1,0,MIN(Y17,Z17)),"")</f>
        <v/>
      </c>
      <c r="AV17" s="50">
        <f>IF(AND(ISNUMBER(AB17),ISNUMBER(AC17)),MIN(AB17,AC17),"")</f>
        <v/>
      </c>
      <c r="AW17" s="50">
        <f>IF(ISNUMBER(AD17),IF(AE17=1,0,AD17),"")</f>
        <v/>
      </c>
      <c r="AX17" s="50">
        <f>IF(AND(ISNUMBER(AF17),ISNUMBER(AG17)),IF(AH17=1,0,MIN(AF17,AG17)),"")</f>
        <v/>
      </c>
      <c r="AY17" s="50">
        <f>IF(COUNT(AR17:AX17)=7,SUM(AR17:AX17),"")</f>
        <v/>
      </c>
      <c r="AZ17" s="50">
        <f>IF(ISNUMBER(AY17),--(U17&lt;&gt;V17)+--(W17&lt;&gt;X17)+--(Y17&lt;&gt;Z17)+--(AB17&lt;&gt;AC17)+--(AF17&lt;&gt;AG17),"")</f>
        <v/>
      </c>
      <c r="BA17" s="51">
        <f>IF(A17="","",TRIM(IF(B17="ID없음","대상자_VO2max 시트에 없는 ID ","")&amp;IF(LEN(A17)&lt;&gt;LEN(TRIM(A17)),"ID 앞뒤 공백 ","")&amp;IF(COUNTIF($A$4:$A$33,A17)&gt;1,"ID 중복 ","")&amp;IF(COUNTIF('FMS'!$A$4:$A$33,A17)=0,"FMS(평가자1) 시트에 없는 ID ","")&amp;IF(AND(COUNT(D17,E17,F17,G17,H17,I17,J17,L17,M17,N17,P17,Q17)&gt;0,COUNT(D17,E17,F17,G17,H17,I17,J17,L17,M17,N17,P17,Q17)&lt;12),"사전 동작점수 일부 빈칸 ","")&amp;IF(AND(COUNT(T17,U17,V17,W17,X17,Y17,Z17,AB17,AC17,AD17,AF17,AG17)&gt;0,COUNT(T17,U17,V17,W17,X17,Y17,Z17,AB17,AC17,AD17,AF17,AG17)&lt;12),"사후 동작점수 일부 빈칸 ","")))</f>
        <v/>
      </c>
    </row>
    <row r="18">
      <c r="A18" s="40" t="n"/>
      <c r="B18" s="50">
        <f>IF($A18="","",IFERROR(IF(INDEX('대상자_VO2max'!$B$4:$B$33,MATCH($A18,'대상자_VO2max'!$A$4:$A$33,0))="","",INDEX('대상자_VO2max'!$B$4:$B$33,MATCH($A18,'대상자_VO2max'!$A$4:$A$33,0))),"ID없음"))</f>
        <v/>
      </c>
      <c r="C18" s="40" t="n"/>
      <c r="D18" s="41" t="n"/>
      <c r="E18" s="41" t="n"/>
      <c r="F18" s="41" t="n"/>
      <c r="G18" s="41" t="n"/>
      <c r="H18" s="41" t="n"/>
      <c r="I18" s="41" t="n"/>
      <c r="J18" s="41" t="n"/>
      <c r="K18" s="41" t="n"/>
      <c r="L18" s="41" t="n"/>
      <c r="M18" s="41" t="n"/>
      <c r="N18" s="41" t="n"/>
      <c r="O18" s="41" t="n"/>
      <c r="P18" s="41" t="n"/>
      <c r="Q18" s="41" t="n"/>
      <c r="R18" s="41" t="n"/>
      <c r="S18" s="40" t="n"/>
      <c r="T18" s="41" t="n"/>
      <c r="U18" s="41" t="n"/>
      <c r="V18" s="41" t="n"/>
      <c r="W18" s="41" t="n"/>
      <c r="X18" s="41" t="n"/>
      <c r="Y18" s="41" t="n"/>
      <c r="Z18" s="41" t="n"/>
      <c r="AA18" s="41" t="n"/>
      <c r="AB18" s="41" t="n"/>
      <c r="AC18" s="41" t="n"/>
      <c r="AD18" s="41" t="n"/>
      <c r="AE18" s="41" t="n"/>
      <c r="AF18" s="41" t="n"/>
      <c r="AG18" s="41" t="n"/>
      <c r="AH18" s="41" t="n"/>
      <c r="AI18" s="50">
        <f>IF(ISNUMBER(D18),D18,"")</f>
        <v/>
      </c>
      <c r="AJ18" s="50">
        <f>IF(AND(ISNUMBER(E18),ISNUMBER(F18)),MIN(E18,F18),"")</f>
        <v/>
      </c>
      <c r="AK18" s="50">
        <f>IF(AND(ISNUMBER(G18),ISNUMBER(H18)),MIN(G18,H18),"")</f>
        <v/>
      </c>
      <c r="AL18" s="50">
        <f>IF(AND(ISNUMBER(I18),ISNUMBER(J18)),IF(K18=1,0,MIN(I18,J18)),"")</f>
        <v/>
      </c>
      <c r="AM18" s="50">
        <f>IF(AND(ISNUMBER(L18),ISNUMBER(M18)),MIN(L18,M18),"")</f>
        <v/>
      </c>
      <c r="AN18" s="50">
        <f>IF(ISNUMBER(N18),IF(O18=1,0,N18),"")</f>
        <v/>
      </c>
      <c r="AO18" s="50">
        <f>IF(AND(ISNUMBER(P18),ISNUMBER(Q18)),IF(R18=1,0,MIN(P18,Q18)),"")</f>
        <v/>
      </c>
      <c r="AP18" s="50">
        <f>IF(COUNT(AI18:AO18)=7,SUM(AI18:AO18),"")</f>
        <v/>
      </c>
      <c r="AQ18" s="50">
        <f>IF(ISNUMBER(AP18),--(E18&lt;&gt;F18)+--(G18&lt;&gt;H18)+--(I18&lt;&gt;J18)+--(L18&lt;&gt;M18)+--(P18&lt;&gt;Q18),"")</f>
        <v/>
      </c>
      <c r="AR18" s="50">
        <f>IF(ISNUMBER(T18),T18,"")</f>
        <v/>
      </c>
      <c r="AS18" s="50">
        <f>IF(AND(ISNUMBER(U18),ISNUMBER(V18)),MIN(U18,V18),"")</f>
        <v/>
      </c>
      <c r="AT18" s="50">
        <f>IF(AND(ISNUMBER(W18),ISNUMBER(X18)),MIN(W18,X18),"")</f>
        <v/>
      </c>
      <c r="AU18" s="50">
        <f>IF(AND(ISNUMBER(Y18),ISNUMBER(Z18)),IF(AA18=1,0,MIN(Y18,Z18)),"")</f>
        <v/>
      </c>
      <c r="AV18" s="50">
        <f>IF(AND(ISNUMBER(AB18),ISNUMBER(AC18)),MIN(AB18,AC18),"")</f>
        <v/>
      </c>
      <c r="AW18" s="50">
        <f>IF(ISNUMBER(AD18),IF(AE18=1,0,AD18),"")</f>
        <v/>
      </c>
      <c r="AX18" s="50">
        <f>IF(AND(ISNUMBER(AF18),ISNUMBER(AG18)),IF(AH18=1,0,MIN(AF18,AG18)),"")</f>
        <v/>
      </c>
      <c r="AY18" s="50">
        <f>IF(COUNT(AR18:AX18)=7,SUM(AR18:AX18),"")</f>
        <v/>
      </c>
      <c r="AZ18" s="50">
        <f>IF(ISNUMBER(AY18),--(U18&lt;&gt;V18)+--(W18&lt;&gt;X18)+--(Y18&lt;&gt;Z18)+--(AB18&lt;&gt;AC18)+--(AF18&lt;&gt;AG18),"")</f>
        <v/>
      </c>
      <c r="BA18" s="51">
        <f>IF(A18="","",TRIM(IF(B18="ID없음","대상자_VO2max 시트에 없는 ID ","")&amp;IF(LEN(A18)&lt;&gt;LEN(TRIM(A18)),"ID 앞뒤 공백 ","")&amp;IF(COUNTIF($A$4:$A$33,A18)&gt;1,"ID 중복 ","")&amp;IF(COUNTIF('FMS'!$A$4:$A$33,A18)=0,"FMS(평가자1) 시트에 없는 ID ","")&amp;IF(AND(COUNT(D18,E18,F18,G18,H18,I18,J18,L18,M18,N18,P18,Q18)&gt;0,COUNT(D18,E18,F18,G18,H18,I18,J18,L18,M18,N18,P18,Q18)&lt;12),"사전 동작점수 일부 빈칸 ","")&amp;IF(AND(COUNT(T18,U18,V18,W18,X18,Y18,Z18,AB18,AC18,AD18,AF18,AG18)&gt;0,COUNT(T18,U18,V18,W18,X18,Y18,Z18,AB18,AC18,AD18,AF18,AG18)&lt;12),"사후 동작점수 일부 빈칸 ","")))</f>
        <v/>
      </c>
    </row>
    <row r="19">
      <c r="A19" s="40" t="n"/>
      <c r="B19" s="50">
        <f>IF($A19="","",IFERROR(IF(INDEX('대상자_VO2max'!$B$4:$B$33,MATCH($A19,'대상자_VO2max'!$A$4:$A$33,0))="","",INDEX('대상자_VO2max'!$B$4:$B$33,MATCH($A19,'대상자_VO2max'!$A$4:$A$33,0))),"ID없음"))</f>
        <v/>
      </c>
      <c r="C19" s="40" t="n"/>
      <c r="D19" s="41" t="n"/>
      <c r="E19" s="41" t="n"/>
      <c r="F19" s="41" t="n"/>
      <c r="G19" s="41" t="n"/>
      <c r="H19" s="41" t="n"/>
      <c r="I19" s="41" t="n"/>
      <c r="J19" s="41" t="n"/>
      <c r="K19" s="41" t="n"/>
      <c r="L19" s="41" t="n"/>
      <c r="M19" s="41" t="n"/>
      <c r="N19" s="41" t="n"/>
      <c r="O19" s="41" t="n"/>
      <c r="P19" s="41" t="n"/>
      <c r="Q19" s="41" t="n"/>
      <c r="R19" s="41" t="n"/>
      <c r="S19" s="40" t="n"/>
      <c r="T19" s="41" t="n"/>
      <c r="U19" s="41" t="n"/>
      <c r="V19" s="41" t="n"/>
      <c r="W19" s="41" t="n"/>
      <c r="X19" s="41" t="n"/>
      <c r="Y19" s="41" t="n"/>
      <c r="Z19" s="41" t="n"/>
      <c r="AA19" s="41" t="n"/>
      <c r="AB19" s="41" t="n"/>
      <c r="AC19" s="41" t="n"/>
      <c r="AD19" s="41" t="n"/>
      <c r="AE19" s="41" t="n"/>
      <c r="AF19" s="41" t="n"/>
      <c r="AG19" s="41" t="n"/>
      <c r="AH19" s="41" t="n"/>
      <c r="AI19" s="50">
        <f>IF(ISNUMBER(D19),D19,"")</f>
        <v/>
      </c>
      <c r="AJ19" s="50">
        <f>IF(AND(ISNUMBER(E19),ISNUMBER(F19)),MIN(E19,F19),"")</f>
        <v/>
      </c>
      <c r="AK19" s="50">
        <f>IF(AND(ISNUMBER(G19),ISNUMBER(H19)),MIN(G19,H19),"")</f>
        <v/>
      </c>
      <c r="AL19" s="50">
        <f>IF(AND(ISNUMBER(I19),ISNUMBER(J19)),IF(K19=1,0,MIN(I19,J19)),"")</f>
        <v/>
      </c>
      <c r="AM19" s="50">
        <f>IF(AND(ISNUMBER(L19),ISNUMBER(M19)),MIN(L19,M19),"")</f>
        <v/>
      </c>
      <c r="AN19" s="50">
        <f>IF(ISNUMBER(N19),IF(O19=1,0,N19),"")</f>
        <v/>
      </c>
      <c r="AO19" s="50">
        <f>IF(AND(ISNUMBER(P19),ISNUMBER(Q19)),IF(R19=1,0,MIN(P19,Q19)),"")</f>
        <v/>
      </c>
      <c r="AP19" s="50">
        <f>IF(COUNT(AI19:AO19)=7,SUM(AI19:AO19),"")</f>
        <v/>
      </c>
      <c r="AQ19" s="50">
        <f>IF(ISNUMBER(AP19),--(E19&lt;&gt;F19)+--(G19&lt;&gt;H19)+--(I19&lt;&gt;J19)+--(L19&lt;&gt;M19)+--(P19&lt;&gt;Q19),"")</f>
        <v/>
      </c>
      <c r="AR19" s="50">
        <f>IF(ISNUMBER(T19),T19,"")</f>
        <v/>
      </c>
      <c r="AS19" s="50">
        <f>IF(AND(ISNUMBER(U19),ISNUMBER(V19)),MIN(U19,V19),"")</f>
        <v/>
      </c>
      <c r="AT19" s="50">
        <f>IF(AND(ISNUMBER(W19),ISNUMBER(X19)),MIN(W19,X19),"")</f>
        <v/>
      </c>
      <c r="AU19" s="50">
        <f>IF(AND(ISNUMBER(Y19),ISNUMBER(Z19)),IF(AA19=1,0,MIN(Y19,Z19)),"")</f>
        <v/>
      </c>
      <c r="AV19" s="50">
        <f>IF(AND(ISNUMBER(AB19),ISNUMBER(AC19)),MIN(AB19,AC19),"")</f>
        <v/>
      </c>
      <c r="AW19" s="50">
        <f>IF(ISNUMBER(AD19),IF(AE19=1,0,AD19),"")</f>
        <v/>
      </c>
      <c r="AX19" s="50">
        <f>IF(AND(ISNUMBER(AF19),ISNUMBER(AG19)),IF(AH19=1,0,MIN(AF19,AG19)),"")</f>
        <v/>
      </c>
      <c r="AY19" s="50">
        <f>IF(COUNT(AR19:AX19)=7,SUM(AR19:AX19),"")</f>
        <v/>
      </c>
      <c r="AZ19" s="50">
        <f>IF(ISNUMBER(AY19),--(U19&lt;&gt;V19)+--(W19&lt;&gt;X19)+--(Y19&lt;&gt;Z19)+--(AB19&lt;&gt;AC19)+--(AF19&lt;&gt;AG19),"")</f>
        <v/>
      </c>
      <c r="BA19" s="51">
        <f>IF(A19="","",TRIM(IF(B19="ID없음","대상자_VO2max 시트에 없는 ID ","")&amp;IF(LEN(A19)&lt;&gt;LEN(TRIM(A19)),"ID 앞뒤 공백 ","")&amp;IF(COUNTIF($A$4:$A$33,A19)&gt;1,"ID 중복 ","")&amp;IF(COUNTIF('FMS'!$A$4:$A$33,A19)=0,"FMS(평가자1) 시트에 없는 ID ","")&amp;IF(AND(COUNT(D19,E19,F19,G19,H19,I19,J19,L19,M19,N19,P19,Q19)&gt;0,COUNT(D19,E19,F19,G19,H19,I19,J19,L19,M19,N19,P19,Q19)&lt;12),"사전 동작점수 일부 빈칸 ","")&amp;IF(AND(COUNT(T19,U19,V19,W19,X19,Y19,Z19,AB19,AC19,AD19,AF19,AG19)&gt;0,COUNT(T19,U19,V19,W19,X19,Y19,Z19,AB19,AC19,AD19,AF19,AG19)&lt;12),"사후 동작점수 일부 빈칸 ","")))</f>
        <v/>
      </c>
    </row>
    <row r="20">
      <c r="A20" s="40" t="n"/>
      <c r="B20" s="50">
        <f>IF($A20="","",IFERROR(IF(INDEX('대상자_VO2max'!$B$4:$B$33,MATCH($A20,'대상자_VO2max'!$A$4:$A$33,0))="","",INDEX('대상자_VO2max'!$B$4:$B$33,MATCH($A20,'대상자_VO2max'!$A$4:$A$33,0))),"ID없음"))</f>
        <v/>
      </c>
      <c r="C20" s="40" t="n"/>
      <c r="D20" s="41" t="n"/>
      <c r="E20" s="41" t="n"/>
      <c r="F20" s="41" t="n"/>
      <c r="G20" s="41" t="n"/>
      <c r="H20" s="41" t="n"/>
      <c r="I20" s="41" t="n"/>
      <c r="J20" s="41" t="n"/>
      <c r="K20" s="41" t="n"/>
      <c r="L20" s="41" t="n"/>
      <c r="M20" s="41" t="n"/>
      <c r="N20" s="41" t="n"/>
      <c r="O20" s="41" t="n"/>
      <c r="P20" s="41" t="n"/>
      <c r="Q20" s="41" t="n"/>
      <c r="R20" s="41" t="n"/>
      <c r="S20" s="40" t="n"/>
      <c r="T20" s="41" t="n"/>
      <c r="U20" s="41" t="n"/>
      <c r="V20" s="41" t="n"/>
      <c r="W20" s="41" t="n"/>
      <c r="X20" s="41" t="n"/>
      <c r="Y20" s="41" t="n"/>
      <c r="Z20" s="41" t="n"/>
      <c r="AA20" s="41" t="n"/>
      <c r="AB20" s="41" t="n"/>
      <c r="AC20" s="41" t="n"/>
      <c r="AD20" s="41" t="n"/>
      <c r="AE20" s="41" t="n"/>
      <c r="AF20" s="41" t="n"/>
      <c r="AG20" s="41" t="n"/>
      <c r="AH20" s="41" t="n"/>
      <c r="AI20" s="50">
        <f>IF(ISNUMBER(D20),D20,"")</f>
        <v/>
      </c>
      <c r="AJ20" s="50">
        <f>IF(AND(ISNUMBER(E20),ISNUMBER(F20)),MIN(E20,F20),"")</f>
        <v/>
      </c>
      <c r="AK20" s="50">
        <f>IF(AND(ISNUMBER(G20),ISNUMBER(H20)),MIN(G20,H20),"")</f>
        <v/>
      </c>
      <c r="AL20" s="50">
        <f>IF(AND(ISNUMBER(I20),ISNUMBER(J20)),IF(K20=1,0,MIN(I20,J20)),"")</f>
        <v/>
      </c>
      <c r="AM20" s="50">
        <f>IF(AND(ISNUMBER(L20),ISNUMBER(M20)),MIN(L20,M20),"")</f>
        <v/>
      </c>
      <c r="AN20" s="50">
        <f>IF(ISNUMBER(N20),IF(O20=1,0,N20),"")</f>
        <v/>
      </c>
      <c r="AO20" s="50">
        <f>IF(AND(ISNUMBER(P20),ISNUMBER(Q20)),IF(R20=1,0,MIN(P20,Q20)),"")</f>
        <v/>
      </c>
      <c r="AP20" s="50">
        <f>IF(COUNT(AI20:AO20)=7,SUM(AI20:AO20),"")</f>
        <v/>
      </c>
      <c r="AQ20" s="50">
        <f>IF(ISNUMBER(AP20),--(E20&lt;&gt;F20)+--(G20&lt;&gt;H20)+--(I20&lt;&gt;J20)+--(L20&lt;&gt;M20)+--(P20&lt;&gt;Q20),"")</f>
        <v/>
      </c>
      <c r="AR20" s="50">
        <f>IF(ISNUMBER(T20),T20,"")</f>
        <v/>
      </c>
      <c r="AS20" s="50">
        <f>IF(AND(ISNUMBER(U20),ISNUMBER(V20)),MIN(U20,V20),"")</f>
        <v/>
      </c>
      <c r="AT20" s="50">
        <f>IF(AND(ISNUMBER(W20),ISNUMBER(X20)),MIN(W20,X20),"")</f>
        <v/>
      </c>
      <c r="AU20" s="50">
        <f>IF(AND(ISNUMBER(Y20),ISNUMBER(Z20)),IF(AA20=1,0,MIN(Y20,Z20)),"")</f>
        <v/>
      </c>
      <c r="AV20" s="50">
        <f>IF(AND(ISNUMBER(AB20),ISNUMBER(AC20)),MIN(AB20,AC20),"")</f>
        <v/>
      </c>
      <c r="AW20" s="50">
        <f>IF(ISNUMBER(AD20),IF(AE20=1,0,AD20),"")</f>
        <v/>
      </c>
      <c r="AX20" s="50">
        <f>IF(AND(ISNUMBER(AF20),ISNUMBER(AG20)),IF(AH20=1,0,MIN(AF20,AG20)),"")</f>
        <v/>
      </c>
      <c r="AY20" s="50">
        <f>IF(COUNT(AR20:AX20)=7,SUM(AR20:AX20),"")</f>
        <v/>
      </c>
      <c r="AZ20" s="50">
        <f>IF(ISNUMBER(AY20),--(U20&lt;&gt;V20)+--(W20&lt;&gt;X20)+--(Y20&lt;&gt;Z20)+--(AB20&lt;&gt;AC20)+--(AF20&lt;&gt;AG20),"")</f>
        <v/>
      </c>
      <c r="BA20" s="51">
        <f>IF(A20="","",TRIM(IF(B20="ID없음","대상자_VO2max 시트에 없는 ID ","")&amp;IF(LEN(A20)&lt;&gt;LEN(TRIM(A20)),"ID 앞뒤 공백 ","")&amp;IF(COUNTIF($A$4:$A$33,A20)&gt;1,"ID 중복 ","")&amp;IF(COUNTIF('FMS'!$A$4:$A$33,A20)=0,"FMS(평가자1) 시트에 없는 ID ","")&amp;IF(AND(COUNT(D20,E20,F20,G20,H20,I20,J20,L20,M20,N20,P20,Q20)&gt;0,COUNT(D20,E20,F20,G20,H20,I20,J20,L20,M20,N20,P20,Q20)&lt;12),"사전 동작점수 일부 빈칸 ","")&amp;IF(AND(COUNT(T20,U20,V20,W20,X20,Y20,Z20,AB20,AC20,AD20,AF20,AG20)&gt;0,COUNT(T20,U20,V20,W20,X20,Y20,Z20,AB20,AC20,AD20,AF20,AG20)&lt;12),"사후 동작점수 일부 빈칸 ","")))</f>
        <v/>
      </c>
    </row>
    <row r="21">
      <c r="A21" s="40" t="n"/>
      <c r="B21" s="50">
        <f>IF($A21="","",IFERROR(IF(INDEX('대상자_VO2max'!$B$4:$B$33,MATCH($A21,'대상자_VO2max'!$A$4:$A$33,0))="","",INDEX('대상자_VO2max'!$B$4:$B$33,MATCH($A21,'대상자_VO2max'!$A$4:$A$33,0))),"ID없음"))</f>
        <v/>
      </c>
      <c r="C21" s="40" t="n"/>
      <c r="D21" s="41" t="n"/>
      <c r="E21" s="41" t="n"/>
      <c r="F21" s="41" t="n"/>
      <c r="G21" s="41" t="n"/>
      <c r="H21" s="41" t="n"/>
      <c r="I21" s="41" t="n"/>
      <c r="J21" s="41" t="n"/>
      <c r="K21" s="41" t="n"/>
      <c r="L21" s="41" t="n"/>
      <c r="M21" s="41" t="n"/>
      <c r="N21" s="41" t="n"/>
      <c r="O21" s="41" t="n"/>
      <c r="P21" s="41" t="n"/>
      <c r="Q21" s="41" t="n"/>
      <c r="R21" s="41" t="n"/>
      <c r="S21" s="40" t="n"/>
      <c r="T21" s="41" t="n"/>
      <c r="U21" s="41" t="n"/>
      <c r="V21" s="41" t="n"/>
      <c r="W21" s="41" t="n"/>
      <c r="X21" s="41" t="n"/>
      <c r="Y21" s="41" t="n"/>
      <c r="Z21" s="41" t="n"/>
      <c r="AA21" s="41" t="n"/>
      <c r="AB21" s="41" t="n"/>
      <c r="AC21" s="41" t="n"/>
      <c r="AD21" s="41" t="n"/>
      <c r="AE21" s="41" t="n"/>
      <c r="AF21" s="41" t="n"/>
      <c r="AG21" s="41" t="n"/>
      <c r="AH21" s="41" t="n"/>
      <c r="AI21" s="50">
        <f>IF(ISNUMBER(D21),D21,"")</f>
        <v/>
      </c>
      <c r="AJ21" s="50">
        <f>IF(AND(ISNUMBER(E21),ISNUMBER(F21)),MIN(E21,F21),"")</f>
        <v/>
      </c>
      <c r="AK21" s="50">
        <f>IF(AND(ISNUMBER(G21),ISNUMBER(H21)),MIN(G21,H21),"")</f>
        <v/>
      </c>
      <c r="AL21" s="50">
        <f>IF(AND(ISNUMBER(I21),ISNUMBER(J21)),IF(K21=1,0,MIN(I21,J21)),"")</f>
        <v/>
      </c>
      <c r="AM21" s="50">
        <f>IF(AND(ISNUMBER(L21),ISNUMBER(M21)),MIN(L21,M21),"")</f>
        <v/>
      </c>
      <c r="AN21" s="50">
        <f>IF(ISNUMBER(N21),IF(O21=1,0,N21),"")</f>
        <v/>
      </c>
      <c r="AO21" s="50">
        <f>IF(AND(ISNUMBER(P21),ISNUMBER(Q21)),IF(R21=1,0,MIN(P21,Q21)),"")</f>
        <v/>
      </c>
      <c r="AP21" s="50">
        <f>IF(COUNT(AI21:AO21)=7,SUM(AI21:AO21),"")</f>
        <v/>
      </c>
      <c r="AQ21" s="50">
        <f>IF(ISNUMBER(AP21),--(E21&lt;&gt;F21)+--(G21&lt;&gt;H21)+--(I21&lt;&gt;J21)+--(L21&lt;&gt;M21)+--(P21&lt;&gt;Q21),"")</f>
        <v/>
      </c>
      <c r="AR21" s="50">
        <f>IF(ISNUMBER(T21),T21,"")</f>
        <v/>
      </c>
      <c r="AS21" s="50">
        <f>IF(AND(ISNUMBER(U21),ISNUMBER(V21)),MIN(U21,V21),"")</f>
        <v/>
      </c>
      <c r="AT21" s="50">
        <f>IF(AND(ISNUMBER(W21),ISNUMBER(X21)),MIN(W21,X21),"")</f>
        <v/>
      </c>
      <c r="AU21" s="50">
        <f>IF(AND(ISNUMBER(Y21),ISNUMBER(Z21)),IF(AA21=1,0,MIN(Y21,Z21)),"")</f>
        <v/>
      </c>
      <c r="AV21" s="50">
        <f>IF(AND(ISNUMBER(AB21),ISNUMBER(AC21)),MIN(AB21,AC21),"")</f>
        <v/>
      </c>
      <c r="AW21" s="50">
        <f>IF(ISNUMBER(AD21),IF(AE21=1,0,AD21),"")</f>
        <v/>
      </c>
      <c r="AX21" s="50">
        <f>IF(AND(ISNUMBER(AF21),ISNUMBER(AG21)),IF(AH21=1,0,MIN(AF21,AG21)),"")</f>
        <v/>
      </c>
      <c r="AY21" s="50">
        <f>IF(COUNT(AR21:AX21)=7,SUM(AR21:AX21),"")</f>
        <v/>
      </c>
      <c r="AZ21" s="50">
        <f>IF(ISNUMBER(AY21),--(U21&lt;&gt;V21)+--(W21&lt;&gt;X21)+--(Y21&lt;&gt;Z21)+--(AB21&lt;&gt;AC21)+--(AF21&lt;&gt;AG21),"")</f>
        <v/>
      </c>
      <c r="BA21" s="51">
        <f>IF(A21="","",TRIM(IF(B21="ID없음","대상자_VO2max 시트에 없는 ID ","")&amp;IF(LEN(A21)&lt;&gt;LEN(TRIM(A21)),"ID 앞뒤 공백 ","")&amp;IF(COUNTIF($A$4:$A$33,A21)&gt;1,"ID 중복 ","")&amp;IF(COUNTIF('FMS'!$A$4:$A$33,A21)=0,"FMS(평가자1) 시트에 없는 ID ","")&amp;IF(AND(COUNT(D21,E21,F21,G21,H21,I21,J21,L21,M21,N21,P21,Q21)&gt;0,COUNT(D21,E21,F21,G21,H21,I21,J21,L21,M21,N21,P21,Q21)&lt;12),"사전 동작점수 일부 빈칸 ","")&amp;IF(AND(COUNT(T21,U21,V21,W21,X21,Y21,Z21,AB21,AC21,AD21,AF21,AG21)&gt;0,COUNT(T21,U21,V21,W21,X21,Y21,Z21,AB21,AC21,AD21,AF21,AG21)&lt;12),"사후 동작점수 일부 빈칸 ","")))</f>
        <v/>
      </c>
    </row>
    <row r="22">
      <c r="A22" s="40" t="n"/>
      <c r="B22" s="50">
        <f>IF($A22="","",IFERROR(IF(INDEX('대상자_VO2max'!$B$4:$B$33,MATCH($A22,'대상자_VO2max'!$A$4:$A$33,0))="","",INDEX('대상자_VO2max'!$B$4:$B$33,MATCH($A22,'대상자_VO2max'!$A$4:$A$33,0))),"ID없음"))</f>
        <v/>
      </c>
      <c r="C22" s="40" t="n"/>
      <c r="D22" s="41" t="n"/>
      <c r="E22" s="41" t="n"/>
      <c r="F22" s="41" t="n"/>
      <c r="G22" s="41" t="n"/>
      <c r="H22" s="41" t="n"/>
      <c r="I22" s="41" t="n"/>
      <c r="J22" s="41" t="n"/>
      <c r="K22" s="41" t="n"/>
      <c r="L22" s="41" t="n"/>
      <c r="M22" s="41" t="n"/>
      <c r="N22" s="41" t="n"/>
      <c r="O22" s="41" t="n"/>
      <c r="P22" s="41" t="n"/>
      <c r="Q22" s="41" t="n"/>
      <c r="R22" s="41" t="n"/>
      <c r="S22" s="40" t="n"/>
      <c r="T22" s="41" t="n"/>
      <c r="U22" s="41" t="n"/>
      <c r="V22" s="41" t="n"/>
      <c r="W22" s="41" t="n"/>
      <c r="X22" s="41" t="n"/>
      <c r="Y22" s="41" t="n"/>
      <c r="Z22" s="41" t="n"/>
      <c r="AA22" s="41" t="n"/>
      <c r="AB22" s="41" t="n"/>
      <c r="AC22" s="41" t="n"/>
      <c r="AD22" s="41" t="n"/>
      <c r="AE22" s="41" t="n"/>
      <c r="AF22" s="41" t="n"/>
      <c r="AG22" s="41" t="n"/>
      <c r="AH22" s="41" t="n"/>
      <c r="AI22" s="50">
        <f>IF(ISNUMBER(D22),D22,"")</f>
        <v/>
      </c>
      <c r="AJ22" s="50">
        <f>IF(AND(ISNUMBER(E22),ISNUMBER(F22)),MIN(E22,F22),"")</f>
        <v/>
      </c>
      <c r="AK22" s="50">
        <f>IF(AND(ISNUMBER(G22),ISNUMBER(H22)),MIN(G22,H22),"")</f>
        <v/>
      </c>
      <c r="AL22" s="50">
        <f>IF(AND(ISNUMBER(I22),ISNUMBER(J22)),IF(K22=1,0,MIN(I22,J22)),"")</f>
        <v/>
      </c>
      <c r="AM22" s="50">
        <f>IF(AND(ISNUMBER(L22),ISNUMBER(M22)),MIN(L22,M22),"")</f>
        <v/>
      </c>
      <c r="AN22" s="50">
        <f>IF(ISNUMBER(N22),IF(O22=1,0,N22),"")</f>
        <v/>
      </c>
      <c r="AO22" s="50">
        <f>IF(AND(ISNUMBER(P22),ISNUMBER(Q22)),IF(R22=1,0,MIN(P22,Q22)),"")</f>
        <v/>
      </c>
      <c r="AP22" s="50">
        <f>IF(COUNT(AI22:AO22)=7,SUM(AI22:AO22),"")</f>
        <v/>
      </c>
      <c r="AQ22" s="50">
        <f>IF(ISNUMBER(AP22),--(E22&lt;&gt;F22)+--(G22&lt;&gt;H22)+--(I22&lt;&gt;J22)+--(L22&lt;&gt;M22)+--(P22&lt;&gt;Q22),"")</f>
        <v/>
      </c>
      <c r="AR22" s="50">
        <f>IF(ISNUMBER(T22),T22,"")</f>
        <v/>
      </c>
      <c r="AS22" s="50">
        <f>IF(AND(ISNUMBER(U22),ISNUMBER(V22)),MIN(U22,V22),"")</f>
        <v/>
      </c>
      <c r="AT22" s="50">
        <f>IF(AND(ISNUMBER(W22),ISNUMBER(X22)),MIN(W22,X22),"")</f>
        <v/>
      </c>
      <c r="AU22" s="50">
        <f>IF(AND(ISNUMBER(Y22),ISNUMBER(Z22)),IF(AA22=1,0,MIN(Y22,Z22)),"")</f>
        <v/>
      </c>
      <c r="AV22" s="50">
        <f>IF(AND(ISNUMBER(AB22),ISNUMBER(AC22)),MIN(AB22,AC22),"")</f>
        <v/>
      </c>
      <c r="AW22" s="50">
        <f>IF(ISNUMBER(AD22),IF(AE22=1,0,AD22),"")</f>
        <v/>
      </c>
      <c r="AX22" s="50">
        <f>IF(AND(ISNUMBER(AF22),ISNUMBER(AG22)),IF(AH22=1,0,MIN(AF22,AG22)),"")</f>
        <v/>
      </c>
      <c r="AY22" s="50">
        <f>IF(COUNT(AR22:AX22)=7,SUM(AR22:AX22),"")</f>
        <v/>
      </c>
      <c r="AZ22" s="50">
        <f>IF(ISNUMBER(AY22),--(U22&lt;&gt;V22)+--(W22&lt;&gt;X22)+--(Y22&lt;&gt;Z22)+--(AB22&lt;&gt;AC22)+--(AF22&lt;&gt;AG22),"")</f>
        <v/>
      </c>
      <c r="BA22" s="51">
        <f>IF(A22="","",TRIM(IF(B22="ID없음","대상자_VO2max 시트에 없는 ID ","")&amp;IF(LEN(A22)&lt;&gt;LEN(TRIM(A22)),"ID 앞뒤 공백 ","")&amp;IF(COUNTIF($A$4:$A$33,A22)&gt;1,"ID 중복 ","")&amp;IF(COUNTIF('FMS'!$A$4:$A$33,A22)=0,"FMS(평가자1) 시트에 없는 ID ","")&amp;IF(AND(COUNT(D22,E22,F22,G22,H22,I22,J22,L22,M22,N22,P22,Q22)&gt;0,COUNT(D22,E22,F22,G22,H22,I22,J22,L22,M22,N22,P22,Q22)&lt;12),"사전 동작점수 일부 빈칸 ","")&amp;IF(AND(COUNT(T22,U22,V22,W22,X22,Y22,Z22,AB22,AC22,AD22,AF22,AG22)&gt;0,COUNT(T22,U22,V22,W22,X22,Y22,Z22,AB22,AC22,AD22,AF22,AG22)&lt;12),"사후 동작점수 일부 빈칸 ","")))</f>
        <v/>
      </c>
    </row>
    <row r="23">
      <c r="A23" s="40" t="n"/>
      <c r="B23" s="50">
        <f>IF($A23="","",IFERROR(IF(INDEX('대상자_VO2max'!$B$4:$B$33,MATCH($A23,'대상자_VO2max'!$A$4:$A$33,0))="","",INDEX('대상자_VO2max'!$B$4:$B$33,MATCH($A23,'대상자_VO2max'!$A$4:$A$33,0))),"ID없음"))</f>
        <v/>
      </c>
      <c r="C23" s="40" t="n"/>
      <c r="D23" s="41" t="n"/>
      <c r="E23" s="41" t="n"/>
      <c r="F23" s="41" t="n"/>
      <c r="G23" s="41" t="n"/>
      <c r="H23" s="41" t="n"/>
      <c r="I23" s="41" t="n"/>
      <c r="J23" s="41" t="n"/>
      <c r="K23" s="41" t="n"/>
      <c r="L23" s="41" t="n"/>
      <c r="M23" s="41" t="n"/>
      <c r="N23" s="41" t="n"/>
      <c r="O23" s="41" t="n"/>
      <c r="P23" s="41" t="n"/>
      <c r="Q23" s="41" t="n"/>
      <c r="R23" s="41" t="n"/>
      <c r="S23" s="40" t="n"/>
      <c r="T23" s="41" t="n"/>
      <c r="U23" s="41" t="n"/>
      <c r="V23" s="41" t="n"/>
      <c r="W23" s="41" t="n"/>
      <c r="X23" s="41" t="n"/>
      <c r="Y23" s="41" t="n"/>
      <c r="Z23" s="41" t="n"/>
      <c r="AA23" s="41" t="n"/>
      <c r="AB23" s="41" t="n"/>
      <c r="AC23" s="41" t="n"/>
      <c r="AD23" s="41" t="n"/>
      <c r="AE23" s="41" t="n"/>
      <c r="AF23" s="41" t="n"/>
      <c r="AG23" s="41" t="n"/>
      <c r="AH23" s="41" t="n"/>
      <c r="AI23" s="50">
        <f>IF(ISNUMBER(D23),D23,"")</f>
        <v/>
      </c>
      <c r="AJ23" s="50">
        <f>IF(AND(ISNUMBER(E23),ISNUMBER(F23)),MIN(E23,F23),"")</f>
        <v/>
      </c>
      <c r="AK23" s="50">
        <f>IF(AND(ISNUMBER(G23),ISNUMBER(H23)),MIN(G23,H23),"")</f>
        <v/>
      </c>
      <c r="AL23" s="50">
        <f>IF(AND(ISNUMBER(I23),ISNUMBER(J23)),IF(K23=1,0,MIN(I23,J23)),"")</f>
        <v/>
      </c>
      <c r="AM23" s="50">
        <f>IF(AND(ISNUMBER(L23),ISNUMBER(M23)),MIN(L23,M23),"")</f>
        <v/>
      </c>
      <c r="AN23" s="50">
        <f>IF(ISNUMBER(N23),IF(O23=1,0,N23),"")</f>
        <v/>
      </c>
      <c r="AO23" s="50">
        <f>IF(AND(ISNUMBER(P23),ISNUMBER(Q23)),IF(R23=1,0,MIN(P23,Q23)),"")</f>
        <v/>
      </c>
      <c r="AP23" s="50">
        <f>IF(COUNT(AI23:AO23)=7,SUM(AI23:AO23),"")</f>
        <v/>
      </c>
      <c r="AQ23" s="50">
        <f>IF(ISNUMBER(AP23),--(E23&lt;&gt;F23)+--(G23&lt;&gt;H23)+--(I23&lt;&gt;J23)+--(L23&lt;&gt;M23)+--(P23&lt;&gt;Q23),"")</f>
        <v/>
      </c>
      <c r="AR23" s="50">
        <f>IF(ISNUMBER(T23),T23,"")</f>
        <v/>
      </c>
      <c r="AS23" s="50">
        <f>IF(AND(ISNUMBER(U23),ISNUMBER(V23)),MIN(U23,V23),"")</f>
        <v/>
      </c>
      <c r="AT23" s="50">
        <f>IF(AND(ISNUMBER(W23),ISNUMBER(X23)),MIN(W23,X23),"")</f>
        <v/>
      </c>
      <c r="AU23" s="50">
        <f>IF(AND(ISNUMBER(Y23),ISNUMBER(Z23)),IF(AA23=1,0,MIN(Y23,Z23)),"")</f>
        <v/>
      </c>
      <c r="AV23" s="50">
        <f>IF(AND(ISNUMBER(AB23),ISNUMBER(AC23)),MIN(AB23,AC23),"")</f>
        <v/>
      </c>
      <c r="AW23" s="50">
        <f>IF(ISNUMBER(AD23),IF(AE23=1,0,AD23),"")</f>
        <v/>
      </c>
      <c r="AX23" s="50">
        <f>IF(AND(ISNUMBER(AF23),ISNUMBER(AG23)),IF(AH23=1,0,MIN(AF23,AG23)),"")</f>
        <v/>
      </c>
      <c r="AY23" s="50">
        <f>IF(COUNT(AR23:AX23)=7,SUM(AR23:AX23),"")</f>
        <v/>
      </c>
      <c r="AZ23" s="50">
        <f>IF(ISNUMBER(AY23),--(U23&lt;&gt;V23)+--(W23&lt;&gt;X23)+--(Y23&lt;&gt;Z23)+--(AB23&lt;&gt;AC23)+--(AF23&lt;&gt;AG23),"")</f>
        <v/>
      </c>
      <c r="BA23" s="51">
        <f>IF(A23="","",TRIM(IF(B23="ID없음","대상자_VO2max 시트에 없는 ID ","")&amp;IF(LEN(A23)&lt;&gt;LEN(TRIM(A23)),"ID 앞뒤 공백 ","")&amp;IF(COUNTIF($A$4:$A$33,A23)&gt;1,"ID 중복 ","")&amp;IF(COUNTIF('FMS'!$A$4:$A$33,A23)=0,"FMS(평가자1) 시트에 없는 ID ","")&amp;IF(AND(COUNT(D23,E23,F23,G23,H23,I23,J23,L23,M23,N23,P23,Q23)&gt;0,COUNT(D23,E23,F23,G23,H23,I23,J23,L23,M23,N23,P23,Q23)&lt;12),"사전 동작점수 일부 빈칸 ","")&amp;IF(AND(COUNT(T23,U23,V23,W23,X23,Y23,Z23,AB23,AC23,AD23,AF23,AG23)&gt;0,COUNT(T23,U23,V23,W23,X23,Y23,Z23,AB23,AC23,AD23,AF23,AG23)&lt;12),"사후 동작점수 일부 빈칸 ","")))</f>
        <v/>
      </c>
    </row>
    <row r="24">
      <c r="A24" s="40" t="n"/>
      <c r="B24" s="50">
        <f>IF($A24="","",IFERROR(IF(INDEX('대상자_VO2max'!$B$4:$B$33,MATCH($A24,'대상자_VO2max'!$A$4:$A$33,0))="","",INDEX('대상자_VO2max'!$B$4:$B$33,MATCH($A24,'대상자_VO2max'!$A$4:$A$33,0))),"ID없음"))</f>
        <v/>
      </c>
      <c r="C24" s="40" t="n"/>
      <c r="D24" s="41" t="n"/>
      <c r="E24" s="41" t="n"/>
      <c r="F24" s="41" t="n"/>
      <c r="G24" s="41" t="n"/>
      <c r="H24" s="41" t="n"/>
      <c r="I24" s="41" t="n"/>
      <c r="J24" s="41" t="n"/>
      <c r="K24" s="41" t="n"/>
      <c r="L24" s="41" t="n"/>
      <c r="M24" s="41" t="n"/>
      <c r="N24" s="41" t="n"/>
      <c r="O24" s="41" t="n"/>
      <c r="P24" s="41" t="n"/>
      <c r="Q24" s="41" t="n"/>
      <c r="R24" s="41" t="n"/>
      <c r="S24" s="40" t="n"/>
      <c r="T24" s="41" t="n"/>
      <c r="U24" s="41" t="n"/>
      <c r="V24" s="41" t="n"/>
      <c r="W24" s="41" t="n"/>
      <c r="X24" s="41" t="n"/>
      <c r="Y24" s="41" t="n"/>
      <c r="Z24" s="41" t="n"/>
      <c r="AA24" s="41" t="n"/>
      <c r="AB24" s="41" t="n"/>
      <c r="AC24" s="41" t="n"/>
      <c r="AD24" s="41" t="n"/>
      <c r="AE24" s="41" t="n"/>
      <c r="AF24" s="41" t="n"/>
      <c r="AG24" s="41" t="n"/>
      <c r="AH24" s="41" t="n"/>
      <c r="AI24" s="50">
        <f>IF(ISNUMBER(D24),D24,"")</f>
        <v/>
      </c>
      <c r="AJ24" s="50">
        <f>IF(AND(ISNUMBER(E24),ISNUMBER(F24)),MIN(E24,F24),"")</f>
        <v/>
      </c>
      <c r="AK24" s="50">
        <f>IF(AND(ISNUMBER(G24),ISNUMBER(H24)),MIN(G24,H24),"")</f>
        <v/>
      </c>
      <c r="AL24" s="50">
        <f>IF(AND(ISNUMBER(I24),ISNUMBER(J24)),IF(K24=1,0,MIN(I24,J24)),"")</f>
        <v/>
      </c>
      <c r="AM24" s="50">
        <f>IF(AND(ISNUMBER(L24),ISNUMBER(M24)),MIN(L24,M24),"")</f>
        <v/>
      </c>
      <c r="AN24" s="50">
        <f>IF(ISNUMBER(N24),IF(O24=1,0,N24),"")</f>
        <v/>
      </c>
      <c r="AO24" s="50">
        <f>IF(AND(ISNUMBER(P24),ISNUMBER(Q24)),IF(R24=1,0,MIN(P24,Q24)),"")</f>
        <v/>
      </c>
      <c r="AP24" s="50">
        <f>IF(COUNT(AI24:AO24)=7,SUM(AI24:AO24),"")</f>
        <v/>
      </c>
      <c r="AQ24" s="50">
        <f>IF(ISNUMBER(AP24),--(E24&lt;&gt;F24)+--(G24&lt;&gt;H24)+--(I24&lt;&gt;J24)+--(L24&lt;&gt;M24)+--(P24&lt;&gt;Q24),"")</f>
        <v/>
      </c>
      <c r="AR24" s="50">
        <f>IF(ISNUMBER(T24),T24,"")</f>
        <v/>
      </c>
      <c r="AS24" s="50">
        <f>IF(AND(ISNUMBER(U24),ISNUMBER(V24)),MIN(U24,V24),"")</f>
        <v/>
      </c>
      <c r="AT24" s="50">
        <f>IF(AND(ISNUMBER(W24),ISNUMBER(X24)),MIN(W24,X24),"")</f>
        <v/>
      </c>
      <c r="AU24" s="50">
        <f>IF(AND(ISNUMBER(Y24),ISNUMBER(Z24)),IF(AA24=1,0,MIN(Y24,Z24)),"")</f>
        <v/>
      </c>
      <c r="AV24" s="50">
        <f>IF(AND(ISNUMBER(AB24),ISNUMBER(AC24)),MIN(AB24,AC24),"")</f>
        <v/>
      </c>
      <c r="AW24" s="50">
        <f>IF(ISNUMBER(AD24),IF(AE24=1,0,AD24),"")</f>
        <v/>
      </c>
      <c r="AX24" s="50">
        <f>IF(AND(ISNUMBER(AF24),ISNUMBER(AG24)),IF(AH24=1,0,MIN(AF24,AG24)),"")</f>
        <v/>
      </c>
      <c r="AY24" s="50">
        <f>IF(COUNT(AR24:AX24)=7,SUM(AR24:AX24),"")</f>
        <v/>
      </c>
      <c r="AZ24" s="50">
        <f>IF(ISNUMBER(AY24),--(U24&lt;&gt;V24)+--(W24&lt;&gt;X24)+--(Y24&lt;&gt;Z24)+--(AB24&lt;&gt;AC24)+--(AF24&lt;&gt;AG24),"")</f>
        <v/>
      </c>
      <c r="BA24" s="51">
        <f>IF(A24="","",TRIM(IF(B24="ID없음","대상자_VO2max 시트에 없는 ID ","")&amp;IF(LEN(A24)&lt;&gt;LEN(TRIM(A24)),"ID 앞뒤 공백 ","")&amp;IF(COUNTIF($A$4:$A$33,A24)&gt;1,"ID 중복 ","")&amp;IF(COUNTIF('FMS'!$A$4:$A$33,A24)=0,"FMS(평가자1) 시트에 없는 ID ","")&amp;IF(AND(COUNT(D24,E24,F24,G24,H24,I24,J24,L24,M24,N24,P24,Q24)&gt;0,COUNT(D24,E24,F24,G24,H24,I24,J24,L24,M24,N24,P24,Q24)&lt;12),"사전 동작점수 일부 빈칸 ","")&amp;IF(AND(COUNT(T24,U24,V24,W24,X24,Y24,Z24,AB24,AC24,AD24,AF24,AG24)&gt;0,COUNT(T24,U24,V24,W24,X24,Y24,Z24,AB24,AC24,AD24,AF24,AG24)&lt;12),"사후 동작점수 일부 빈칸 ","")))</f>
        <v/>
      </c>
    </row>
    <row r="25">
      <c r="A25" s="40" t="n"/>
      <c r="B25" s="50">
        <f>IF($A25="","",IFERROR(IF(INDEX('대상자_VO2max'!$B$4:$B$33,MATCH($A25,'대상자_VO2max'!$A$4:$A$33,0))="","",INDEX('대상자_VO2max'!$B$4:$B$33,MATCH($A25,'대상자_VO2max'!$A$4:$A$33,0))),"ID없음"))</f>
        <v/>
      </c>
      <c r="C25" s="40" t="n"/>
      <c r="D25" s="41" t="n"/>
      <c r="E25" s="41" t="n"/>
      <c r="F25" s="41" t="n"/>
      <c r="G25" s="41" t="n"/>
      <c r="H25" s="41" t="n"/>
      <c r="I25" s="41" t="n"/>
      <c r="J25" s="41" t="n"/>
      <c r="K25" s="41" t="n"/>
      <c r="L25" s="41" t="n"/>
      <c r="M25" s="41" t="n"/>
      <c r="N25" s="41" t="n"/>
      <c r="O25" s="41" t="n"/>
      <c r="P25" s="41" t="n"/>
      <c r="Q25" s="41" t="n"/>
      <c r="R25" s="41" t="n"/>
      <c r="S25" s="40" t="n"/>
      <c r="T25" s="41" t="n"/>
      <c r="U25" s="41" t="n"/>
      <c r="V25" s="41" t="n"/>
      <c r="W25" s="41" t="n"/>
      <c r="X25" s="41" t="n"/>
      <c r="Y25" s="41" t="n"/>
      <c r="Z25" s="41" t="n"/>
      <c r="AA25" s="41" t="n"/>
      <c r="AB25" s="41" t="n"/>
      <c r="AC25" s="41" t="n"/>
      <c r="AD25" s="41" t="n"/>
      <c r="AE25" s="41" t="n"/>
      <c r="AF25" s="41" t="n"/>
      <c r="AG25" s="41" t="n"/>
      <c r="AH25" s="41" t="n"/>
      <c r="AI25" s="50">
        <f>IF(ISNUMBER(D25),D25,"")</f>
        <v/>
      </c>
      <c r="AJ25" s="50">
        <f>IF(AND(ISNUMBER(E25),ISNUMBER(F25)),MIN(E25,F25),"")</f>
        <v/>
      </c>
      <c r="AK25" s="50">
        <f>IF(AND(ISNUMBER(G25),ISNUMBER(H25)),MIN(G25,H25),"")</f>
        <v/>
      </c>
      <c r="AL25" s="50">
        <f>IF(AND(ISNUMBER(I25),ISNUMBER(J25)),IF(K25=1,0,MIN(I25,J25)),"")</f>
        <v/>
      </c>
      <c r="AM25" s="50">
        <f>IF(AND(ISNUMBER(L25),ISNUMBER(M25)),MIN(L25,M25),"")</f>
        <v/>
      </c>
      <c r="AN25" s="50">
        <f>IF(ISNUMBER(N25),IF(O25=1,0,N25),"")</f>
        <v/>
      </c>
      <c r="AO25" s="50">
        <f>IF(AND(ISNUMBER(P25),ISNUMBER(Q25)),IF(R25=1,0,MIN(P25,Q25)),"")</f>
        <v/>
      </c>
      <c r="AP25" s="50">
        <f>IF(COUNT(AI25:AO25)=7,SUM(AI25:AO25),"")</f>
        <v/>
      </c>
      <c r="AQ25" s="50">
        <f>IF(ISNUMBER(AP25),--(E25&lt;&gt;F25)+--(G25&lt;&gt;H25)+--(I25&lt;&gt;J25)+--(L25&lt;&gt;M25)+--(P25&lt;&gt;Q25),"")</f>
        <v/>
      </c>
      <c r="AR25" s="50">
        <f>IF(ISNUMBER(T25),T25,"")</f>
        <v/>
      </c>
      <c r="AS25" s="50">
        <f>IF(AND(ISNUMBER(U25),ISNUMBER(V25)),MIN(U25,V25),"")</f>
        <v/>
      </c>
      <c r="AT25" s="50">
        <f>IF(AND(ISNUMBER(W25),ISNUMBER(X25)),MIN(W25,X25),"")</f>
        <v/>
      </c>
      <c r="AU25" s="50">
        <f>IF(AND(ISNUMBER(Y25),ISNUMBER(Z25)),IF(AA25=1,0,MIN(Y25,Z25)),"")</f>
        <v/>
      </c>
      <c r="AV25" s="50">
        <f>IF(AND(ISNUMBER(AB25),ISNUMBER(AC25)),MIN(AB25,AC25),"")</f>
        <v/>
      </c>
      <c r="AW25" s="50">
        <f>IF(ISNUMBER(AD25),IF(AE25=1,0,AD25),"")</f>
        <v/>
      </c>
      <c r="AX25" s="50">
        <f>IF(AND(ISNUMBER(AF25),ISNUMBER(AG25)),IF(AH25=1,0,MIN(AF25,AG25)),"")</f>
        <v/>
      </c>
      <c r="AY25" s="50">
        <f>IF(COUNT(AR25:AX25)=7,SUM(AR25:AX25),"")</f>
        <v/>
      </c>
      <c r="AZ25" s="50">
        <f>IF(ISNUMBER(AY25),--(U25&lt;&gt;V25)+--(W25&lt;&gt;X25)+--(Y25&lt;&gt;Z25)+--(AB25&lt;&gt;AC25)+--(AF25&lt;&gt;AG25),"")</f>
        <v/>
      </c>
      <c r="BA25" s="51">
        <f>IF(A25="","",TRIM(IF(B25="ID없음","대상자_VO2max 시트에 없는 ID ","")&amp;IF(LEN(A25)&lt;&gt;LEN(TRIM(A25)),"ID 앞뒤 공백 ","")&amp;IF(COUNTIF($A$4:$A$33,A25)&gt;1,"ID 중복 ","")&amp;IF(COUNTIF('FMS'!$A$4:$A$33,A25)=0,"FMS(평가자1) 시트에 없는 ID ","")&amp;IF(AND(COUNT(D25,E25,F25,G25,H25,I25,J25,L25,M25,N25,P25,Q25)&gt;0,COUNT(D25,E25,F25,G25,H25,I25,J25,L25,M25,N25,P25,Q25)&lt;12),"사전 동작점수 일부 빈칸 ","")&amp;IF(AND(COUNT(T25,U25,V25,W25,X25,Y25,Z25,AB25,AC25,AD25,AF25,AG25)&gt;0,COUNT(T25,U25,V25,W25,X25,Y25,Z25,AB25,AC25,AD25,AF25,AG25)&lt;12),"사후 동작점수 일부 빈칸 ","")))</f>
        <v/>
      </c>
    </row>
    <row r="26">
      <c r="A26" s="40" t="n"/>
      <c r="B26" s="50">
        <f>IF($A26="","",IFERROR(IF(INDEX('대상자_VO2max'!$B$4:$B$33,MATCH($A26,'대상자_VO2max'!$A$4:$A$33,0))="","",INDEX('대상자_VO2max'!$B$4:$B$33,MATCH($A26,'대상자_VO2max'!$A$4:$A$33,0))),"ID없음"))</f>
        <v/>
      </c>
      <c r="C26" s="40" t="n"/>
      <c r="D26" s="41" t="n"/>
      <c r="E26" s="41" t="n"/>
      <c r="F26" s="41" t="n"/>
      <c r="G26" s="41" t="n"/>
      <c r="H26" s="41" t="n"/>
      <c r="I26" s="41" t="n"/>
      <c r="J26" s="41" t="n"/>
      <c r="K26" s="41" t="n"/>
      <c r="L26" s="41" t="n"/>
      <c r="M26" s="41" t="n"/>
      <c r="N26" s="41" t="n"/>
      <c r="O26" s="41" t="n"/>
      <c r="P26" s="41" t="n"/>
      <c r="Q26" s="41" t="n"/>
      <c r="R26" s="41" t="n"/>
      <c r="S26" s="40" t="n"/>
      <c r="T26" s="41" t="n"/>
      <c r="U26" s="41" t="n"/>
      <c r="V26" s="41" t="n"/>
      <c r="W26" s="41" t="n"/>
      <c r="X26" s="41" t="n"/>
      <c r="Y26" s="41" t="n"/>
      <c r="Z26" s="41" t="n"/>
      <c r="AA26" s="41" t="n"/>
      <c r="AB26" s="41" t="n"/>
      <c r="AC26" s="41" t="n"/>
      <c r="AD26" s="41" t="n"/>
      <c r="AE26" s="41" t="n"/>
      <c r="AF26" s="41" t="n"/>
      <c r="AG26" s="41" t="n"/>
      <c r="AH26" s="41" t="n"/>
      <c r="AI26" s="50">
        <f>IF(ISNUMBER(D26),D26,"")</f>
        <v/>
      </c>
      <c r="AJ26" s="50">
        <f>IF(AND(ISNUMBER(E26),ISNUMBER(F26)),MIN(E26,F26),"")</f>
        <v/>
      </c>
      <c r="AK26" s="50">
        <f>IF(AND(ISNUMBER(G26),ISNUMBER(H26)),MIN(G26,H26),"")</f>
        <v/>
      </c>
      <c r="AL26" s="50">
        <f>IF(AND(ISNUMBER(I26),ISNUMBER(J26)),IF(K26=1,0,MIN(I26,J26)),"")</f>
        <v/>
      </c>
      <c r="AM26" s="50">
        <f>IF(AND(ISNUMBER(L26),ISNUMBER(M26)),MIN(L26,M26),"")</f>
        <v/>
      </c>
      <c r="AN26" s="50">
        <f>IF(ISNUMBER(N26),IF(O26=1,0,N26),"")</f>
        <v/>
      </c>
      <c r="AO26" s="50">
        <f>IF(AND(ISNUMBER(P26),ISNUMBER(Q26)),IF(R26=1,0,MIN(P26,Q26)),"")</f>
        <v/>
      </c>
      <c r="AP26" s="50">
        <f>IF(COUNT(AI26:AO26)=7,SUM(AI26:AO26),"")</f>
        <v/>
      </c>
      <c r="AQ26" s="50">
        <f>IF(ISNUMBER(AP26),--(E26&lt;&gt;F26)+--(G26&lt;&gt;H26)+--(I26&lt;&gt;J26)+--(L26&lt;&gt;M26)+--(P26&lt;&gt;Q26),"")</f>
        <v/>
      </c>
      <c r="AR26" s="50">
        <f>IF(ISNUMBER(T26),T26,"")</f>
        <v/>
      </c>
      <c r="AS26" s="50">
        <f>IF(AND(ISNUMBER(U26),ISNUMBER(V26)),MIN(U26,V26),"")</f>
        <v/>
      </c>
      <c r="AT26" s="50">
        <f>IF(AND(ISNUMBER(W26),ISNUMBER(X26)),MIN(W26,X26),"")</f>
        <v/>
      </c>
      <c r="AU26" s="50">
        <f>IF(AND(ISNUMBER(Y26),ISNUMBER(Z26)),IF(AA26=1,0,MIN(Y26,Z26)),"")</f>
        <v/>
      </c>
      <c r="AV26" s="50">
        <f>IF(AND(ISNUMBER(AB26),ISNUMBER(AC26)),MIN(AB26,AC26),"")</f>
        <v/>
      </c>
      <c r="AW26" s="50">
        <f>IF(ISNUMBER(AD26),IF(AE26=1,0,AD26),"")</f>
        <v/>
      </c>
      <c r="AX26" s="50">
        <f>IF(AND(ISNUMBER(AF26),ISNUMBER(AG26)),IF(AH26=1,0,MIN(AF26,AG26)),"")</f>
        <v/>
      </c>
      <c r="AY26" s="50">
        <f>IF(COUNT(AR26:AX26)=7,SUM(AR26:AX26),"")</f>
        <v/>
      </c>
      <c r="AZ26" s="50">
        <f>IF(ISNUMBER(AY26),--(U26&lt;&gt;V26)+--(W26&lt;&gt;X26)+--(Y26&lt;&gt;Z26)+--(AB26&lt;&gt;AC26)+--(AF26&lt;&gt;AG26),"")</f>
        <v/>
      </c>
      <c r="BA26" s="51">
        <f>IF(A26="","",TRIM(IF(B26="ID없음","대상자_VO2max 시트에 없는 ID ","")&amp;IF(LEN(A26)&lt;&gt;LEN(TRIM(A26)),"ID 앞뒤 공백 ","")&amp;IF(COUNTIF($A$4:$A$33,A26)&gt;1,"ID 중복 ","")&amp;IF(COUNTIF('FMS'!$A$4:$A$33,A26)=0,"FMS(평가자1) 시트에 없는 ID ","")&amp;IF(AND(COUNT(D26,E26,F26,G26,H26,I26,J26,L26,M26,N26,P26,Q26)&gt;0,COUNT(D26,E26,F26,G26,H26,I26,J26,L26,M26,N26,P26,Q26)&lt;12),"사전 동작점수 일부 빈칸 ","")&amp;IF(AND(COUNT(T26,U26,V26,W26,X26,Y26,Z26,AB26,AC26,AD26,AF26,AG26)&gt;0,COUNT(T26,U26,V26,W26,X26,Y26,Z26,AB26,AC26,AD26,AF26,AG26)&lt;12),"사후 동작점수 일부 빈칸 ","")))</f>
        <v/>
      </c>
    </row>
    <row r="27">
      <c r="A27" s="40" t="n"/>
      <c r="B27" s="50">
        <f>IF($A27="","",IFERROR(IF(INDEX('대상자_VO2max'!$B$4:$B$33,MATCH($A27,'대상자_VO2max'!$A$4:$A$33,0))="","",INDEX('대상자_VO2max'!$B$4:$B$33,MATCH($A27,'대상자_VO2max'!$A$4:$A$33,0))),"ID없음"))</f>
        <v/>
      </c>
      <c r="C27" s="40" t="n"/>
      <c r="D27" s="41" t="n"/>
      <c r="E27" s="41" t="n"/>
      <c r="F27" s="41" t="n"/>
      <c r="G27" s="41" t="n"/>
      <c r="H27" s="41" t="n"/>
      <c r="I27" s="41" t="n"/>
      <c r="J27" s="41" t="n"/>
      <c r="K27" s="41" t="n"/>
      <c r="L27" s="41" t="n"/>
      <c r="M27" s="41" t="n"/>
      <c r="N27" s="41" t="n"/>
      <c r="O27" s="41" t="n"/>
      <c r="P27" s="41" t="n"/>
      <c r="Q27" s="41" t="n"/>
      <c r="R27" s="41" t="n"/>
      <c r="S27" s="40" t="n"/>
      <c r="T27" s="41" t="n"/>
      <c r="U27" s="41" t="n"/>
      <c r="V27" s="41" t="n"/>
      <c r="W27" s="41" t="n"/>
      <c r="X27" s="41" t="n"/>
      <c r="Y27" s="41" t="n"/>
      <c r="Z27" s="41" t="n"/>
      <c r="AA27" s="41" t="n"/>
      <c r="AB27" s="41" t="n"/>
      <c r="AC27" s="41" t="n"/>
      <c r="AD27" s="41" t="n"/>
      <c r="AE27" s="41" t="n"/>
      <c r="AF27" s="41" t="n"/>
      <c r="AG27" s="41" t="n"/>
      <c r="AH27" s="41" t="n"/>
      <c r="AI27" s="50">
        <f>IF(ISNUMBER(D27),D27,"")</f>
        <v/>
      </c>
      <c r="AJ27" s="50">
        <f>IF(AND(ISNUMBER(E27),ISNUMBER(F27)),MIN(E27,F27),"")</f>
        <v/>
      </c>
      <c r="AK27" s="50">
        <f>IF(AND(ISNUMBER(G27),ISNUMBER(H27)),MIN(G27,H27),"")</f>
        <v/>
      </c>
      <c r="AL27" s="50">
        <f>IF(AND(ISNUMBER(I27),ISNUMBER(J27)),IF(K27=1,0,MIN(I27,J27)),"")</f>
        <v/>
      </c>
      <c r="AM27" s="50">
        <f>IF(AND(ISNUMBER(L27),ISNUMBER(M27)),MIN(L27,M27),"")</f>
        <v/>
      </c>
      <c r="AN27" s="50">
        <f>IF(ISNUMBER(N27),IF(O27=1,0,N27),"")</f>
        <v/>
      </c>
      <c r="AO27" s="50">
        <f>IF(AND(ISNUMBER(P27),ISNUMBER(Q27)),IF(R27=1,0,MIN(P27,Q27)),"")</f>
        <v/>
      </c>
      <c r="AP27" s="50">
        <f>IF(COUNT(AI27:AO27)=7,SUM(AI27:AO27),"")</f>
        <v/>
      </c>
      <c r="AQ27" s="50">
        <f>IF(ISNUMBER(AP27),--(E27&lt;&gt;F27)+--(G27&lt;&gt;H27)+--(I27&lt;&gt;J27)+--(L27&lt;&gt;M27)+--(P27&lt;&gt;Q27),"")</f>
        <v/>
      </c>
      <c r="AR27" s="50">
        <f>IF(ISNUMBER(T27),T27,"")</f>
        <v/>
      </c>
      <c r="AS27" s="50">
        <f>IF(AND(ISNUMBER(U27),ISNUMBER(V27)),MIN(U27,V27),"")</f>
        <v/>
      </c>
      <c r="AT27" s="50">
        <f>IF(AND(ISNUMBER(W27),ISNUMBER(X27)),MIN(W27,X27),"")</f>
        <v/>
      </c>
      <c r="AU27" s="50">
        <f>IF(AND(ISNUMBER(Y27),ISNUMBER(Z27)),IF(AA27=1,0,MIN(Y27,Z27)),"")</f>
        <v/>
      </c>
      <c r="AV27" s="50">
        <f>IF(AND(ISNUMBER(AB27),ISNUMBER(AC27)),MIN(AB27,AC27),"")</f>
        <v/>
      </c>
      <c r="AW27" s="50">
        <f>IF(ISNUMBER(AD27),IF(AE27=1,0,AD27),"")</f>
        <v/>
      </c>
      <c r="AX27" s="50">
        <f>IF(AND(ISNUMBER(AF27),ISNUMBER(AG27)),IF(AH27=1,0,MIN(AF27,AG27)),"")</f>
        <v/>
      </c>
      <c r="AY27" s="50">
        <f>IF(COUNT(AR27:AX27)=7,SUM(AR27:AX27),"")</f>
        <v/>
      </c>
      <c r="AZ27" s="50">
        <f>IF(ISNUMBER(AY27),--(U27&lt;&gt;V27)+--(W27&lt;&gt;X27)+--(Y27&lt;&gt;Z27)+--(AB27&lt;&gt;AC27)+--(AF27&lt;&gt;AG27),"")</f>
        <v/>
      </c>
      <c r="BA27" s="51">
        <f>IF(A27="","",TRIM(IF(B27="ID없음","대상자_VO2max 시트에 없는 ID ","")&amp;IF(LEN(A27)&lt;&gt;LEN(TRIM(A27)),"ID 앞뒤 공백 ","")&amp;IF(COUNTIF($A$4:$A$33,A27)&gt;1,"ID 중복 ","")&amp;IF(COUNTIF('FMS'!$A$4:$A$33,A27)=0,"FMS(평가자1) 시트에 없는 ID ","")&amp;IF(AND(COUNT(D27,E27,F27,G27,H27,I27,J27,L27,M27,N27,P27,Q27)&gt;0,COUNT(D27,E27,F27,G27,H27,I27,J27,L27,M27,N27,P27,Q27)&lt;12),"사전 동작점수 일부 빈칸 ","")&amp;IF(AND(COUNT(T27,U27,V27,W27,X27,Y27,Z27,AB27,AC27,AD27,AF27,AG27)&gt;0,COUNT(T27,U27,V27,W27,X27,Y27,Z27,AB27,AC27,AD27,AF27,AG27)&lt;12),"사후 동작점수 일부 빈칸 ","")))</f>
        <v/>
      </c>
    </row>
    <row r="28">
      <c r="A28" s="40" t="n"/>
      <c r="B28" s="50">
        <f>IF($A28="","",IFERROR(IF(INDEX('대상자_VO2max'!$B$4:$B$33,MATCH($A28,'대상자_VO2max'!$A$4:$A$33,0))="","",INDEX('대상자_VO2max'!$B$4:$B$33,MATCH($A28,'대상자_VO2max'!$A$4:$A$33,0))),"ID없음"))</f>
        <v/>
      </c>
      <c r="C28" s="40" t="n"/>
      <c r="D28" s="41" t="n"/>
      <c r="E28" s="41" t="n"/>
      <c r="F28" s="41" t="n"/>
      <c r="G28" s="41" t="n"/>
      <c r="H28" s="41" t="n"/>
      <c r="I28" s="41" t="n"/>
      <c r="J28" s="41" t="n"/>
      <c r="K28" s="41" t="n"/>
      <c r="L28" s="41" t="n"/>
      <c r="M28" s="41" t="n"/>
      <c r="N28" s="41" t="n"/>
      <c r="O28" s="41" t="n"/>
      <c r="P28" s="41" t="n"/>
      <c r="Q28" s="41" t="n"/>
      <c r="R28" s="41" t="n"/>
      <c r="S28" s="40" t="n"/>
      <c r="T28" s="41" t="n"/>
      <c r="U28" s="41" t="n"/>
      <c r="V28" s="41" t="n"/>
      <c r="W28" s="41" t="n"/>
      <c r="X28" s="41" t="n"/>
      <c r="Y28" s="41" t="n"/>
      <c r="Z28" s="41" t="n"/>
      <c r="AA28" s="41" t="n"/>
      <c r="AB28" s="41" t="n"/>
      <c r="AC28" s="41" t="n"/>
      <c r="AD28" s="41" t="n"/>
      <c r="AE28" s="41" t="n"/>
      <c r="AF28" s="41" t="n"/>
      <c r="AG28" s="41" t="n"/>
      <c r="AH28" s="41" t="n"/>
      <c r="AI28" s="50">
        <f>IF(ISNUMBER(D28),D28,"")</f>
        <v/>
      </c>
      <c r="AJ28" s="50">
        <f>IF(AND(ISNUMBER(E28),ISNUMBER(F28)),MIN(E28,F28),"")</f>
        <v/>
      </c>
      <c r="AK28" s="50">
        <f>IF(AND(ISNUMBER(G28),ISNUMBER(H28)),MIN(G28,H28),"")</f>
        <v/>
      </c>
      <c r="AL28" s="50">
        <f>IF(AND(ISNUMBER(I28),ISNUMBER(J28)),IF(K28=1,0,MIN(I28,J28)),"")</f>
        <v/>
      </c>
      <c r="AM28" s="50">
        <f>IF(AND(ISNUMBER(L28),ISNUMBER(M28)),MIN(L28,M28),"")</f>
        <v/>
      </c>
      <c r="AN28" s="50">
        <f>IF(ISNUMBER(N28),IF(O28=1,0,N28),"")</f>
        <v/>
      </c>
      <c r="AO28" s="50">
        <f>IF(AND(ISNUMBER(P28),ISNUMBER(Q28)),IF(R28=1,0,MIN(P28,Q28)),"")</f>
        <v/>
      </c>
      <c r="AP28" s="50">
        <f>IF(COUNT(AI28:AO28)=7,SUM(AI28:AO28),"")</f>
        <v/>
      </c>
      <c r="AQ28" s="50">
        <f>IF(ISNUMBER(AP28),--(E28&lt;&gt;F28)+--(G28&lt;&gt;H28)+--(I28&lt;&gt;J28)+--(L28&lt;&gt;M28)+--(P28&lt;&gt;Q28),"")</f>
        <v/>
      </c>
      <c r="AR28" s="50">
        <f>IF(ISNUMBER(T28),T28,"")</f>
        <v/>
      </c>
      <c r="AS28" s="50">
        <f>IF(AND(ISNUMBER(U28),ISNUMBER(V28)),MIN(U28,V28),"")</f>
        <v/>
      </c>
      <c r="AT28" s="50">
        <f>IF(AND(ISNUMBER(W28),ISNUMBER(X28)),MIN(W28,X28),"")</f>
        <v/>
      </c>
      <c r="AU28" s="50">
        <f>IF(AND(ISNUMBER(Y28),ISNUMBER(Z28)),IF(AA28=1,0,MIN(Y28,Z28)),"")</f>
        <v/>
      </c>
      <c r="AV28" s="50">
        <f>IF(AND(ISNUMBER(AB28),ISNUMBER(AC28)),MIN(AB28,AC28),"")</f>
        <v/>
      </c>
      <c r="AW28" s="50">
        <f>IF(ISNUMBER(AD28),IF(AE28=1,0,AD28),"")</f>
        <v/>
      </c>
      <c r="AX28" s="50">
        <f>IF(AND(ISNUMBER(AF28),ISNUMBER(AG28)),IF(AH28=1,0,MIN(AF28,AG28)),"")</f>
        <v/>
      </c>
      <c r="AY28" s="50">
        <f>IF(COUNT(AR28:AX28)=7,SUM(AR28:AX28),"")</f>
        <v/>
      </c>
      <c r="AZ28" s="50">
        <f>IF(ISNUMBER(AY28),--(U28&lt;&gt;V28)+--(W28&lt;&gt;X28)+--(Y28&lt;&gt;Z28)+--(AB28&lt;&gt;AC28)+--(AF28&lt;&gt;AG28),"")</f>
        <v/>
      </c>
      <c r="BA28" s="51">
        <f>IF(A28="","",TRIM(IF(B28="ID없음","대상자_VO2max 시트에 없는 ID ","")&amp;IF(LEN(A28)&lt;&gt;LEN(TRIM(A28)),"ID 앞뒤 공백 ","")&amp;IF(COUNTIF($A$4:$A$33,A28)&gt;1,"ID 중복 ","")&amp;IF(COUNTIF('FMS'!$A$4:$A$33,A28)=0,"FMS(평가자1) 시트에 없는 ID ","")&amp;IF(AND(COUNT(D28,E28,F28,G28,H28,I28,J28,L28,M28,N28,P28,Q28)&gt;0,COUNT(D28,E28,F28,G28,H28,I28,J28,L28,M28,N28,P28,Q28)&lt;12),"사전 동작점수 일부 빈칸 ","")&amp;IF(AND(COUNT(T28,U28,V28,W28,X28,Y28,Z28,AB28,AC28,AD28,AF28,AG28)&gt;0,COUNT(T28,U28,V28,W28,X28,Y28,Z28,AB28,AC28,AD28,AF28,AG28)&lt;12),"사후 동작점수 일부 빈칸 ","")))</f>
        <v/>
      </c>
    </row>
    <row r="29">
      <c r="A29" s="40" t="n"/>
      <c r="B29" s="50">
        <f>IF($A29="","",IFERROR(IF(INDEX('대상자_VO2max'!$B$4:$B$33,MATCH($A29,'대상자_VO2max'!$A$4:$A$33,0))="","",INDEX('대상자_VO2max'!$B$4:$B$33,MATCH($A29,'대상자_VO2max'!$A$4:$A$33,0))),"ID없음"))</f>
        <v/>
      </c>
      <c r="C29" s="40" t="n"/>
      <c r="D29" s="41" t="n"/>
      <c r="E29" s="41" t="n"/>
      <c r="F29" s="41" t="n"/>
      <c r="G29" s="41" t="n"/>
      <c r="H29" s="41" t="n"/>
      <c r="I29" s="41" t="n"/>
      <c r="J29" s="41" t="n"/>
      <c r="K29" s="41" t="n"/>
      <c r="L29" s="41" t="n"/>
      <c r="M29" s="41" t="n"/>
      <c r="N29" s="41" t="n"/>
      <c r="O29" s="41" t="n"/>
      <c r="P29" s="41" t="n"/>
      <c r="Q29" s="41" t="n"/>
      <c r="R29" s="41" t="n"/>
      <c r="S29" s="40" t="n"/>
      <c r="T29" s="41" t="n"/>
      <c r="U29" s="41" t="n"/>
      <c r="V29" s="41" t="n"/>
      <c r="W29" s="41" t="n"/>
      <c r="X29" s="41" t="n"/>
      <c r="Y29" s="41" t="n"/>
      <c r="Z29" s="41" t="n"/>
      <c r="AA29" s="41" t="n"/>
      <c r="AB29" s="41" t="n"/>
      <c r="AC29" s="41" t="n"/>
      <c r="AD29" s="41" t="n"/>
      <c r="AE29" s="41" t="n"/>
      <c r="AF29" s="41" t="n"/>
      <c r="AG29" s="41" t="n"/>
      <c r="AH29" s="41" t="n"/>
      <c r="AI29" s="50">
        <f>IF(ISNUMBER(D29),D29,"")</f>
        <v/>
      </c>
      <c r="AJ29" s="50">
        <f>IF(AND(ISNUMBER(E29),ISNUMBER(F29)),MIN(E29,F29),"")</f>
        <v/>
      </c>
      <c r="AK29" s="50">
        <f>IF(AND(ISNUMBER(G29),ISNUMBER(H29)),MIN(G29,H29),"")</f>
        <v/>
      </c>
      <c r="AL29" s="50">
        <f>IF(AND(ISNUMBER(I29),ISNUMBER(J29)),IF(K29=1,0,MIN(I29,J29)),"")</f>
        <v/>
      </c>
      <c r="AM29" s="50">
        <f>IF(AND(ISNUMBER(L29),ISNUMBER(M29)),MIN(L29,M29),"")</f>
        <v/>
      </c>
      <c r="AN29" s="50">
        <f>IF(ISNUMBER(N29),IF(O29=1,0,N29),"")</f>
        <v/>
      </c>
      <c r="AO29" s="50">
        <f>IF(AND(ISNUMBER(P29),ISNUMBER(Q29)),IF(R29=1,0,MIN(P29,Q29)),"")</f>
        <v/>
      </c>
      <c r="AP29" s="50">
        <f>IF(COUNT(AI29:AO29)=7,SUM(AI29:AO29),"")</f>
        <v/>
      </c>
      <c r="AQ29" s="50">
        <f>IF(ISNUMBER(AP29),--(E29&lt;&gt;F29)+--(G29&lt;&gt;H29)+--(I29&lt;&gt;J29)+--(L29&lt;&gt;M29)+--(P29&lt;&gt;Q29),"")</f>
        <v/>
      </c>
      <c r="AR29" s="50">
        <f>IF(ISNUMBER(T29),T29,"")</f>
        <v/>
      </c>
      <c r="AS29" s="50">
        <f>IF(AND(ISNUMBER(U29),ISNUMBER(V29)),MIN(U29,V29),"")</f>
        <v/>
      </c>
      <c r="AT29" s="50">
        <f>IF(AND(ISNUMBER(W29),ISNUMBER(X29)),MIN(W29,X29),"")</f>
        <v/>
      </c>
      <c r="AU29" s="50">
        <f>IF(AND(ISNUMBER(Y29),ISNUMBER(Z29)),IF(AA29=1,0,MIN(Y29,Z29)),"")</f>
        <v/>
      </c>
      <c r="AV29" s="50">
        <f>IF(AND(ISNUMBER(AB29),ISNUMBER(AC29)),MIN(AB29,AC29),"")</f>
        <v/>
      </c>
      <c r="AW29" s="50">
        <f>IF(ISNUMBER(AD29),IF(AE29=1,0,AD29),"")</f>
        <v/>
      </c>
      <c r="AX29" s="50">
        <f>IF(AND(ISNUMBER(AF29),ISNUMBER(AG29)),IF(AH29=1,0,MIN(AF29,AG29)),"")</f>
        <v/>
      </c>
      <c r="AY29" s="50">
        <f>IF(COUNT(AR29:AX29)=7,SUM(AR29:AX29),"")</f>
        <v/>
      </c>
      <c r="AZ29" s="50">
        <f>IF(ISNUMBER(AY29),--(U29&lt;&gt;V29)+--(W29&lt;&gt;X29)+--(Y29&lt;&gt;Z29)+--(AB29&lt;&gt;AC29)+--(AF29&lt;&gt;AG29),"")</f>
        <v/>
      </c>
      <c r="BA29" s="51">
        <f>IF(A29="","",TRIM(IF(B29="ID없음","대상자_VO2max 시트에 없는 ID ","")&amp;IF(LEN(A29)&lt;&gt;LEN(TRIM(A29)),"ID 앞뒤 공백 ","")&amp;IF(COUNTIF($A$4:$A$33,A29)&gt;1,"ID 중복 ","")&amp;IF(COUNTIF('FMS'!$A$4:$A$33,A29)=0,"FMS(평가자1) 시트에 없는 ID ","")&amp;IF(AND(COUNT(D29,E29,F29,G29,H29,I29,J29,L29,M29,N29,P29,Q29)&gt;0,COUNT(D29,E29,F29,G29,H29,I29,J29,L29,M29,N29,P29,Q29)&lt;12),"사전 동작점수 일부 빈칸 ","")&amp;IF(AND(COUNT(T29,U29,V29,W29,X29,Y29,Z29,AB29,AC29,AD29,AF29,AG29)&gt;0,COUNT(T29,U29,V29,W29,X29,Y29,Z29,AB29,AC29,AD29,AF29,AG29)&lt;12),"사후 동작점수 일부 빈칸 ","")))</f>
        <v/>
      </c>
    </row>
    <row r="30">
      <c r="A30" s="40" t="n"/>
      <c r="B30" s="50">
        <f>IF($A30="","",IFERROR(IF(INDEX('대상자_VO2max'!$B$4:$B$33,MATCH($A30,'대상자_VO2max'!$A$4:$A$33,0))="","",INDEX('대상자_VO2max'!$B$4:$B$33,MATCH($A30,'대상자_VO2max'!$A$4:$A$33,0))),"ID없음"))</f>
        <v/>
      </c>
      <c r="C30" s="40" t="n"/>
      <c r="D30" s="41" t="n"/>
      <c r="E30" s="41" t="n"/>
      <c r="F30" s="41" t="n"/>
      <c r="G30" s="41" t="n"/>
      <c r="H30" s="41" t="n"/>
      <c r="I30" s="41" t="n"/>
      <c r="J30" s="41" t="n"/>
      <c r="K30" s="41" t="n"/>
      <c r="L30" s="41" t="n"/>
      <c r="M30" s="41" t="n"/>
      <c r="N30" s="41" t="n"/>
      <c r="O30" s="41" t="n"/>
      <c r="P30" s="41" t="n"/>
      <c r="Q30" s="41" t="n"/>
      <c r="R30" s="41" t="n"/>
      <c r="S30" s="40" t="n"/>
      <c r="T30" s="41" t="n"/>
      <c r="U30" s="41" t="n"/>
      <c r="V30" s="41" t="n"/>
      <c r="W30" s="41" t="n"/>
      <c r="X30" s="41" t="n"/>
      <c r="Y30" s="41" t="n"/>
      <c r="Z30" s="41" t="n"/>
      <c r="AA30" s="41" t="n"/>
      <c r="AB30" s="41" t="n"/>
      <c r="AC30" s="41" t="n"/>
      <c r="AD30" s="41" t="n"/>
      <c r="AE30" s="41" t="n"/>
      <c r="AF30" s="41" t="n"/>
      <c r="AG30" s="41" t="n"/>
      <c r="AH30" s="41" t="n"/>
      <c r="AI30" s="50">
        <f>IF(ISNUMBER(D30),D30,"")</f>
        <v/>
      </c>
      <c r="AJ30" s="50">
        <f>IF(AND(ISNUMBER(E30),ISNUMBER(F30)),MIN(E30,F30),"")</f>
        <v/>
      </c>
      <c r="AK30" s="50">
        <f>IF(AND(ISNUMBER(G30),ISNUMBER(H30)),MIN(G30,H30),"")</f>
        <v/>
      </c>
      <c r="AL30" s="50">
        <f>IF(AND(ISNUMBER(I30),ISNUMBER(J30)),IF(K30=1,0,MIN(I30,J30)),"")</f>
        <v/>
      </c>
      <c r="AM30" s="50">
        <f>IF(AND(ISNUMBER(L30),ISNUMBER(M30)),MIN(L30,M30),"")</f>
        <v/>
      </c>
      <c r="AN30" s="50">
        <f>IF(ISNUMBER(N30),IF(O30=1,0,N30),"")</f>
        <v/>
      </c>
      <c r="AO30" s="50">
        <f>IF(AND(ISNUMBER(P30),ISNUMBER(Q30)),IF(R30=1,0,MIN(P30,Q30)),"")</f>
        <v/>
      </c>
      <c r="AP30" s="50">
        <f>IF(COUNT(AI30:AO30)=7,SUM(AI30:AO30),"")</f>
        <v/>
      </c>
      <c r="AQ30" s="50">
        <f>IF(ISNUMBER(AP30),--(E30&lt;&gt;F30)+--(G30&lt;&gt;H30)+--(I30&lt;&gt;J30)+--(L30&lt;&gt;M30)+--(P30&lt;&gt;Q30),"")</f>
        <v/>
      </c>
      <c r="AR30" s="50">
        <f>IF(ISNUMBER(T30),T30,"")</f>
        <v/>
      </c>
      <c r="AS30" s="50">
        <f>IF(AND(ISNUMBER(U30),ISNUMBER(V30)),MIN(U30,V30),"")</f>
        <v/>
      </c>
      <c r="AT30" s="50">
        <f>IF(AND(ISNUMBER(W30),ISNUMBER(X30)),MIN(W30,X30),"")</f>
        <v/>
      </c>
      <c r="AU30" s="50">
        <f>IF(AND(ISNUMBER(Y30),ISNUMBER(Z30)),IF(AA30=1,0,MIN(Y30,Z30)),"")</f>
        <v/>
      </c>
      <c r="AV30" s="50">
        <f>IF(AND(ISNUMBER(AB30),ISNUMBER(AC30)),MIN(AB30,AC30),"")</f>
        <v/>
      </c>
      <c r="AW30" s="50">
        <f>IF(ISNUMBER(AD30),IF(AE30=1,0,AD30),"")</f>
        <v/>
      </c>
      <c r="AX30" s="50">
        <f>IF(AND(ISNUMBER(AF30),ISNUMBER(AG30)),IF(AH30=1,0,MIN(AF30,AG30)),"")</f>
        <v/>
      </c>
      <c r="AY30" s="50">
        <f>IF(COUNT(AR30:AX30)=7,SUM(AR30:AX30),"")</f>
        <v/>
      </c>
      <c r="AZ30" s="50">
        <f>IF(ISNUMBER(AY30),--(U30&lt;&gt;V30)+--(W30&lt;&gt;X30)+--(Y30&lt;&gt;Z30)+--(AB30&lt;&gt;AC30)+--(AF30&lt;&gt;AG30),"")</f>
        <v/>
      </c>
      <c r="BA30" s="51">
        <f>IF(A30="","",TRIM(IF(B30="ID없음","대상자_VO2max 시트에 없는 ID ","")&amp;IF(LEN(A30)&lt;&gt;LEN(TRIM(A30)),"ID 앞뒤 공백 ","")&amp;IF(COUNTIF($A$4:$A$33,A30)&gt;1,"ID 중복 ","")&amp;IF(COUNTIF('FMS'!$A$4:$A$33,A30)=0,"FMS(평가자1) 시트에 없는 ID ","")&amp;IF(AND(COUNT(D30,E30,F30,G30,H30,I30,J30,L30,M30,N30,P30,Q30)&gt;0,COUNT(D30,E30,F30,G30,H30,I30,J30,L30,M30,N30,P30,Q30)&lt;12),"사전 동작점수 일부 빈칸 ","")&amp;IF(AND(COUNT(T30,U30,V30,W30,X30,Y30,Z30,AB30,AC30,AD30,AF30,AG30)&gt;0,COUNT(T30,U30,V30,W30,X30,Y30,Z30,AB30,AC30,AD30,AF30,AG30)&lt;12),"사후 동작점수 일부 빈칸 ","")))</f>
        <v/>
      </c>
    </row>
    <row r="31">
      <c r="A31" s="40" t="n"/>
      <c r="B31" s="50">
        <f>IF($A31="","",IFERROR(IF(INDEX('대상자_VO2max'!$B$4:$B$33,MATCH($A31,'대상자_VO2max'!$A$4:$A$33,0))="","",INDEX('대상자_VO2max'!$B$4:$B$33,MATCH($A31,'대상자_VO2max'!$A$4:$A$33,0))),"ID없음"))</f>
        <v/>
      </c>
      <c r="C31" s="40" t="n"/>
      <c r="D31" s="41" t="n"/>
      <c r="E31" s="41" t="n"/>
      <c r="F31" s="41" t="n"/>
      <c r="G31" s="41" t="n"/>
      <c r="H31" s="41" t="n"/>
      <c r="I31" s="41" t="n"/>
      <c r="J31" s="41" t="n"/>
      <c r="K31" s="41" t="n"/>
      <c r="L31" s="41" t="n"/>
      <c r="M31" s="41" t="n"/>
      <c r="N31" s="41" t="n"/>
      <c r="O31" s="41" t="n"/>
      <c r="P31" s="41" t="n"/>
      <c r="Q31" s="41" t="n"/>
      <c r="R31" s="41" t="n"/>
      <c r="S31" s="40" t="n"/>
      <c r="T31" s="41" t="n"/>
      <c r="U31" s="41" t="n"/>
      <c r="V31" s="41" t="n"/>
      <c r="W31" s="41" t="n"/>
      <c r="X31" s="41" t="n"/>
      <c r="Y31" s="41" t="n"/>
      <c r="Z31" s="41" t="n"/>
      <c r="AA31" s="41" t="n"/>
      <c r="AB31" s="41" t="n"/>
      <c r="AC31" s="41" t="n"/>
      <c r="AD31" s="41" t="n"/>
      <c r="AE31" s="41" t="n"/>
      <c r="AF31" s="41" t="n"/>
      <c r="AG31" s="41" t="n"/>
      <c r="AH31" s="41" t="n"/>
      <c r="AI31" s="50">
        <f>IF(ISNUMBER(D31),D31,"")</f>
        <v/>
      </c>
      <c r="AJ31" s="50">
        <f>IF(AND(ISNUMBER(E31),ISNUMBER(F31)),MIN(E31,F31),"")</f>
        <v/>
      </c>
      <c r="AK31" s="50">
        <f>IF(AND(ISNUMBER(G31),ISNUMBER(H31)),MIN(G31,H31),"")</f>
        <v/>
      </c>
      <c r="AL31" s="50">
        <f>IF(AND(ISNUMBER(I31),ISNUMBER(J31)),IF(K31=1,0,MIN(I31,J31)),"")</f>
        <v/>
      </c>
      <c r="AM31" s="50">
        <f>IF(AND(ISNUMBER(L31),ISNUMBER(M31)),MIN(L31,M31),"")</f>
        <v/>
      </c>
      <c r="AN31" s="50">
        <f>IF(ISNUMBER(N31),IF(O31=1,0,N31),"")</f>
        <v/>
      </c>
      <c r="AO31" s="50">
        <f>IF(AND(ISNUMBER(P31),ISNUMBER(Q31)),IF(R31=1,0,MIN(P31,Q31)),"")</f>
        <v/>
      </c>
      <c r="AP31" s="50">
        <f>IF(COUNT(AI31:AO31)=7,SUM(AI31:AO31),"")</f>
        <v/>
      </c>
      <c r="AQ31" s="50">
        <f>IF(ISNUMBER(AP31),--(E31&lt;&gt;F31)+--(G31&lt;&gt;H31)+--(I31&lt;&gt;J31)+--(L31&lt;&gt;M31)+--(P31&lt;&gt;Q31),"")</f>
        <v/>
      </c>
      <c r="AR31" s="50">
        <f>IF(ISNUMBER(T31),T31,"")</f>
        <v/>
      </c>
      <c r="AS31" s="50">
        <f>IF(AND(ISNUMBER(U31),ISNUMBER(V31)),MIN(U31,V31),"")</f>
        <v/>
      </c>
      <c r="AT31" s="50">
        <f>IF(AND(ISNUMBER(W31),ISNUMBER(X31)),MIN(W31,X31),"")</f>
        <v/>
      </c>
      <c r="AU31" s="50">
        <f>IF(AND(ISNUMBER(Y31),ISNUMBER(Z31)),IF(AA31=1,0,MIN(Y31,Z31)),"")</f>
        <v/>
      </c>
      <c r="AV31" s="50">
        <f>IF(AND(ISNUMBER(AB31),ISNUMBER(AC31)),MIN(AB31,AC31),"")</f>
        <v/>
      </c>
      <c r="AW31" s="50">
        <f>IF(ISNUMBER(AD31),IF(AE31=1,0,AD31),"")</f>
        <v/>
      </c>
      <c r="AX31" s="50">
        <f>IF(AND(ISNUMBER(AF31),ISNUMBER(AG31)),IF(AH31=1,0,MIN(AF31,AG31)),"")</f>
        <v/>
      </c>
      <c r="AY31" s="50">
        <f>IF(COUNT(AR31:AX31)=7,SUM(AR31:AX31),"")</f>
        <v/>
      </c>
      <c r="AZ31" s="50">
        <f>IF(ISNUMBER(AY31),--(U31&lt;&gt;V31)+--(W31&lt;&gt;X31)+--(Y31&lt;&gt;Z31)+--(AB31&lt;&gt;AC31)+--(AF31&lt;&gt;AG31),"")</f>
        <v/>
      </c>
      <c r="BA31" s="51">
        <f>IF(A31="","",TRIM(IF(B31="ID없음","대상자_VO2max 시트에 없는 ID ","")&amp;IF(LEN(A31)&lt;&gt;LEN(TRIM(A31)),"ID 앞뒤 공백 ","")&amp;IF(COUNTIF($A$4:$A$33,A31)&gt;1,"ID 중복 ","")&amp;IF(COUNTIF('FMS'!$A$4:$A$33,A31)=0,"FMS(평가자1) 시트에 없는 ID ","")&amp;IF(AND(COUNT(D31,E31,F31,G31,H31,I31,J31,L31,M31,N31,P31,Q31)&gt;0,COUNT(D31,E31,F31,G31,H31,I31,J31,L31,M31,N31,P31,Q31)&lt;12),"사전 동작점수 일부 빈칸 ","")&amp;IF(AND(COUNT(T31,U31,V31,W31,X31,Y31,Z31,AB31,AC31,AD31,AF31,AG31)&gt;0,COUNT(T31,U31,V31,W31,X31,Y31,Z31,AB31,AC31,AD31,AF31,AG31)&lt;12),"사후 동작점수 일부 빈칸 ","")))</f>
        <v/>
      </c>
    </row>
    <row r="32">
      <c r="A32" s="40" t="n"/>
      <c r="B32" s="50">
        <f>IF($A32="","",IFERROR(IF(INDEX('대상자_VO2max'!$B$4:$B$33,MATCH($A32,'대상자_VO2max'!$A$4:$A$33,0))="","",INDEX('대상자_VO2max'!$B$4:$B$33,MATCH($A32,'대상자_VO2max'!$A$4:$A$33,0))),"ID없음"))</f>
        <v/>
      </c>
      <c r="C32" s="40" t="n"/>
      <c r="D32" s="41" t="n"/>
      <c r="E32" s="41" t="n"/>
      <c r="F32" s="41" t="n"/>
      <c r="G32" s="41" t="n"/>
      <c r="H32" s="41" t="n"/>
      <c r="I32" s="41" t="n"/>
      <c r="J32" s="41" t="n"/>
      <c r="K32" s="41" t="n"/>
      <c r="L32" s="41" t="n"/>
      <c r="M32" s="41" t="n"/>
      <c r="N32" s="41" t="n"/>
      <c r="O32" s="41" t="n"/>
      <c r="P32" s="41" t="n"/>
      <c r="Q32" s="41" t="n"/>
      <c r="R32" s="41" t="n"/>
      <c r="S32" s="40" t="n"/>
      <c r="T32" s="41" t="n"/>
      <c r="U32" s="41" t="n"/>
      <c r="V32" s="41" t="n"/>
      <c r="W32" s="41" t="n"/>
      <c r="X32" s="41" t="n"/>
      <c r="Y32" s="41" t="n"/>
      <c r="Z32" s="41" t="n"/>
      <c r="AA32" s="41" t="n"/>
      <c r="AB32" s="41" t="n"/>
      <c r="AC32" s="41" t="n"/>
      <c r="AD32" s="41" t="n"/>
      <c r="AE32" s="41" t="n"/>
      <c r="AF32" s="41" t="n"/>
      <c r="AG32" s="41" t="n"/>
      <c r="AH32" s="41" t="n"/>
      <c r="AI32" s="50">
        <f>IF(ISNUMBER(D32),D32,"")</f>
        <v/>
      </c>
      <c r="AJ32" s="50">
        <f>IF(AND(ISNUMBER(E32),ISNUMBER(F32)),MIN(E32,F32),"")</f>
        <v/>
      </c>
      <c r="AK32" s="50">
        <f>IF(AND(ISNUMBER(G32),ISNUMBER(H32)),MIN(G32,H32),"")</f>
        <v/>
      </c>
      <c r="AL32" s="50">
        <f>IF(AND(ISNUMBER(I32),ISNUMBER(J32)),IF(K32=1,0,MIN(I32,J32)),"")</f>
        <v/>
      </c>
      <c r="AM32" s="50">
        <f>IF(AND(ISNUMBER(L32),ISNUMBER(M32)),MIN(L32,M32),"")</f>
        <v/>
      </c>
      <c r="AN32" s="50">
        <f>IF(ISNUMBER(N32),IF(O32=1,0,N32),"")</f>
        <v/>
      </c>
      <c r="AO32" s="50">
        <f>IF(AND(ISNUMBER(P32),ISNUMBER(Q32)),IF(R32=1,0,MIN(P32,Q32)),"")</f>
        <v/>
      </c>
      <c r="AP32" s="50">
        <f>IF(COUNT(AI32:AO32)=7,SUM(AI32:AO32),"")</f>
        <v/>
      </c>
      <c r="AQ32" s="50">
        <f>IF(ISNUMBER(AP32),--(E32&lt;&gt;F32)+--(G32&lt;&gt;H32)+--(I32&lt;&gt;J32)+--(L32&lt;&gt;M32)+--(P32&lt;&gt;Q32),"")</f>
        <v/>
      </c>
      <c r="AR32" s="50">
        <f>IF(ISNUMBER(T32),T32,"")</f>
        <v/>
      </c>
      <c r="AS32" s="50">
        <f>IF(AND(ISNUMBER(U32),ISNUMBER(V32)),MIN(U32,V32),"")</f>
        <v/>
      </c>
      <c r="AT32" s="50">
        <f>IF(AND(ISNUMBER(W32),ISNUMBER(X32)),MIN(W32,X32),"")</f>
        <v/>
      </c>
      <c r="AU32" s="50">
        <f>IF(AND(ISNUMBER(Y32),ISNUMBER(Z32)),IF(AA32=1,0,MIN(Y32,Z32)),"")</f>
        <v/>
      </c>
      <c r="AV32" s="50">
        <f>IF(AND(ISNUMBER(AB32),ISNUMBER(AC32)),MIN(AB32,AC32),"")</f>
        <v/>
      </c>
      <c r="AW32" s="50">
        <f>IF(ISNUMBER(AD32),IF(AE32=1,0,AD32),"")</f>
        <v/>
      </c>
      <c r="AX32" s="50">
        <f>IF(AND(ISNUMBER(AF32),ISNUMBER(AG32)),IF(AH32=1,0,MIN(AF32,AG32)),"")</f>
        <v/>
      </c>
      <c r="AY32" s="50">
        <f>IF(COUNT(AR32:AX32)=7,SUM(AR32:AX32),"")</f>
        <v/>
      </c>
      <c r="AZ32" s="50">
        <f>IF(ISNUMBER(AY32),--(U32&lt;&gt;V32)+--(W32&lt;&gt;X32)+--(Y32&lt;&gt;Z32)+--(AB32&lt;&gt;AC32)+--(AF32&lt;&gt;AG32),"")</f>
        <v/>
      </c>
      <c r="BA32" s="51">
        <f>IF(A32="","",TRIM(IF(B32="ID없음","대상자_VO2max 시트에 없는 ID ","")&amp;IF(LEN(A32)&lt;&gt;LEN(TRIM(A32)),"ID 앞뒤 공백 ","")&amp;IF(COUNTIF($A$4:$A$33,A32)&gt;1,"ID 중복 ","")&amp;IF(COUNTIF('FMS'!$A$4:$A$33,A32)=0,"FMS(평가자1) 시트에 없는 ID ","")&amp;IF(AND(COUNT(D32,E32,F32,G32,H32,I32,J32,L32,M32,N32,P32,Q32)&gt;0,COUNT(D32,E32,F32,G32,H32,I32,J32,L32,M32,N32,P32,Q32)&lt;12),"사전 동작점수 일부 빈칸 ","")&amp;IF(AND(COUNT(T32,U32,V32,W32,X32,Y32,Z32,AB32,AC32,AD32,AF32,AG32)&gt;0,COUNT(T32,U32,V32,W32,X32,Y32,Z32,AB32,AC32,AD32,AF32,AG32)&lt;12),"사후 동작점수 일부 빈칸 ","")))</f>
        <v/>
      </c>
    </row>
    <row r="33">
      <c r="A33" s="40" t="n"/>
      <c r="B33" s="50">
        <f>IF($A33="","",IFERROR(IF(INDEX('대상자_VO2max'!$B$4:$B$33,MATCH($A33,'대상자_VO2max'!$A$4:$A$33,0))="","",INDEX('대상자_VO2max'!$B$4:$B$33,MATCH($A33,'대상자_VO2max'!$A$4:$A$33,0))),"ID없음"))</f>
        <v/>
      </c>
      <c r="C33" s="40" t="n"/>
      <c r="D33" s="41" t="n"/>
      <c r="E33" s="41" t="n"/>
      <c r="F33" s="41" t="n"/>
      <c r="G33" s="41" t="n"/>
      <c r="H33" s="41" t="n"/>
      <c r="I33" s="41" t="n"/>
      <c r="J33" s="41" t="n"/>
      <c r="K33" s="41" t="n"/>
      <c r="L33" s="41" t="n"/>
      <c r="M33" s="41" t="n"/>
      <c r="N33" s="41" t="n"/>
      <c r="O33" s="41" t="n"/>
      <c r="P33" s="41" t="n"/>
      <c r="Q33" s="41" t="n"/>
      <c r="R33" s="41" t="n"/>
      <c r="S33" s="40" t="n"/>
      <c r="T33" s="41" t="n"/>
      <c r="U33" s="41" t="n"/>
      <c r="V33" s="41" t="n"/>
      <c r="W33" s="41" t="n"/>
      <c r="X33" s="41" t="n"/>
      <c r="Y33" s="41" t="n"/>
      <c r="Z33" s="41" t="n"/>
      <c r="AA33" s="41" t="n"/>
      <c r="AB33" s="41" t="n"/>
      <c r="AC33" s="41" t="n"/>
      <c r="AD33" s="41" t="n"/>
      <c r="AE33" s="41" t="n"/>
      <c r="AF33" s="41" t="n"/>
      <c r="AG33" s="41" t="n"/>
      <c r="AH33" s="41" t="n"/>
      <c r="AI33" s="50">
        <f>IF(ISNUMBER(D33),D33,"")</f>
        <v/>
      </c>
      <c r="AJ33" s="50">
        <f>IF(AND(ISNUMBER(E33),ISNUMBER(F33)),MIN(E33,F33),"")</f>
        <v/>
      </c>
      <c r="AK33" s="50">
        <f>IF(AND(ISNUMBER(G33),ISNUMBER(H33)),MIN(G33,H33),"")</f>
        <v/>
      </c>
      <c r="AL33" s="50">
        <f>IF(AND(ISNUMBER(I33),ISNUMBER(J33)),IF(K33=1,0,MIN(I33,J33)),"")</f>
        <v/>
      </c>
      <c r="AM33" s="50">
        <f>IF(AND(ISNUMBER(L33),ISNUMBER(M33)),MIN(L33,M33),"")</f>
        <v/>
      </c>
      <c r="AN33" s="50">
        <f>IF(ISNUMBER(N33),IF(O33=1,0,N33),"")</f>
        <v/>
      </c>
      <c r="AO33" s="50">
        <f>IF(AND(ISNUMBER(P33),ISNUMBER(Q33)),IF(R33=1,0,MIN(P33,Q33)),"")</f>
        <v/>
      </c>
      <c r="AP33" s="50">
        <f>IF(COUNT(AI33:AO33)=7,SUM(AI33:AO33),"")</f>
        <v/>
      </c>
      <c r="AQ33" s="50">
        <f>IF(ISNUMBER(AP33),--(E33&lt;&gt;F33)+--(G33&lt;&gt;H33)+--(I33&lt;&gt;J33)+--(L33&lt;&gt;M33)+--(P33&lt;&gt;Q33),"")</f>
        <v/>
      </c>
      <c r="AR33" s="50">
        <f>IF(ISNUMBER(T33),T33,"")</f>
        <v/>
      </c>
      <c r="AS33" s="50">
        <f>IF(AND(ISNUMBER(U33),ISNUMBER(V33)),MIN(U33,V33),"")</f>
        <v/>
      </c>
      <c r="AT33" s="50">
        <f>IF(AND(ISNUMBER(W33),ISNUMBER(X33)),MIN(W33,X33),"")</f>
        <v/>
      </c>
      <c r="AU33" s="50">
        <f>IF(AND(ISNUMBER(Y33),ISNUMBER(Z33)),IF(AA33=1,0,MIN(Y33,Z33)),"")</f>
        <v/>
      </c>
      <c r="AV33" s="50">
        <f>IF(AND(ISNUMBER(AB33),ISNUMBER(AC33)),MIN(AB33,AC33),"")</f>
        <v/>
      </c>
      <c r="AW33" s="50">
        <f>IF(ISNUMBER(AD33),IF(AE33=1,0,AD33),"")</f>
        <v/>
      </c>
      <c r="AX33" s="50">
        <f>IF(AND(ISNUMBER(AF33),ISNUMBER(AG33)),IF(AH33=1,0,MIN(AF33,AG33)),"")</f>
        <v/>
      </c>
      <c r="AY33" s="50">
        <f>IF(COUNT(AR33:AX33)=7,SUM(AR33:AX33),"")</f>
        <v/>
      </c>
      <c r="AZ33" s="50">
        <f>IF(ISNUMBER(AY33),--(U33&lt;&gt;V33)+--(W33&lt;&gt;X33)+--(Y33&lt;&gt;Z33)+--(AB33&lt;&gt;AC33)+--(AF33&lt;&gt;AG33),"")</f>
        <v/>
      </c>
      <c r="BA33" s="51">
        <f>IF(A33="","",TRIM(IF(B33="ID없음","대상자_VO2max 시트에 없는 ID ","")&amp;IF(LEN(A33)&lt;&gt;LEN(TRIM(A33)),"ID 앞뒤 공백 ","")&amp;IF(COUNTIF($A$4:$A$33,A33)&gt;1,"ID 중복 ","")&amp;IF(COUNTIF('FMS'!$A$4:$A$33,A33)=0,"FMS(평가자1) 시트에 없는 ID ","")&amp;IF(AND(COUNT(D33,E33,F33,G33,H33,I33,J33,L33,M33,N33,P33,Q33)&gt;0,COUNT(D33,E33,F33,G33,H33,I33,J33,L33,M33,N33,P33,Q33)&lt;12),"사전 동작점수 일부 빈칸 ","")&amp;IF(AND(COUNT(T33,U33,V33,W33,X33,Y33,Z33,AB33,AC33,AD33,AF33,AG33)&gt;0,COUNT(T33,U33,V33,W33,X33,Y33,Z33,AB33,AC33,AD33,AF33,AG33)&lt;12),"사후 동작점수 일부 빈칸 ","")))</f>
        <v/>
      </c>
    </row>
  </sheetData>
  <conditionalFormatting sqref="BA4:BA33">
    <cfRule type="expression" priority="1" dxfId="0">
      <formula>LEN(BA4)&gt;0</formula>
    </cfRule>
  </conditionalFormatting>
  <dataValidations count="30">
    <dataValidation sqref="D4:D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E4:E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F4:F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G4:G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H4:H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I4:I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J4:J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L4:L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M4:M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N4:N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P4:P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Q4:Q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K4:K33" showDropDown="0" showInputMessage="0" showErrorMessage="1" allowBlank="1" errorTitle="Clearing test" error="1(통증 있음) 또는 0(없음). 검사하지 않았거나 기록이 없으면 빈칸." type="list">
      <formula1>"1,0"</formula1>
    </dataValidation>
    <dataValidation sqref="O4:O33" showDropDown="0" showInputMessage="0" showErrorMessage="1" allowBlank="1" errorTitle="Clearing test" error="1(통증 있음) 또는 0(없음). 검사하지 않았거나 기록이 없으면 빈칸." type="list">
      <formula1>"1,0"</formula1>
    </dataValidation>
    <dataValidation sqref="R4:R33" showDropDown="0" showInputMessage="0" showErrorMessage="1" allowBlank="1" errorTitle="Clearing test" error="1(통증 있음) 또는 0(없음). 검사하지 않았거나 기록이 없으면 빈칸." type="list">
      <formula1>"1,0"</formula1>
    </dataValidation>
    <dataValidation sqref="T4:T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U4:U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V4:V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W4:W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X4:X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Y4:Y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Z4:Z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B4:AB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C4:AC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D4:AD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F4:AF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G4:AG33" showDropDown="0" showInputMessage="0" showErrorMessage="1" allowBlank="1" errorTitle="FMS 점수" error="FMS 원점수는 보통 0–3 정수입니다. 평가자 평균 등으로 소수라면 그대로 입력하고 연구정보 F5에 적어 주세요." type="decimal" errorStyle="warning" operator="between">
      <formula1>0</formula1>
      <formula2>3</formula2>
    </dataValidation>
    <dataValidation sqref="AA4:AA33" showDropDown="0" showInputMessage="0" showErrorMessage="1" allowBlank="1" errorTitle="Clearing test" error="1(통증 있음) 또는 0(없음). 검사하지 않았거나 기록이 없으면 빈칸." type="list">
      <formula1>"1,0"</formula1>
    </dataValidation>
    <dataValidation sqref="AE4:AE33" showDropDown="0" showInputMessage="0" showErrorMessage="1" allowBlank="1" errorTitle="Clearing test" error="1(통증 있음) 또는 0(없음). 검사하지 않았거나 기록이 없으면 빈칸." type="list">
      <formula1>"1,0"</formula1>
    </dataValidation>
    <dataValidation sqref="AH4:AH33" showDropDown="0" showInputMessage="0" showErrorMessage="1" allowBlank="1" errorTitle="Clearing test" error="1(통증 있음) 또는 0(없음). 검사하지 않았거나 기록이 없으면 빈칸." type="list">
      <formula1>"1,0"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U37"/>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7" customWidth="1" min="39" max="39"/>
    <col width="7" customWidth="1" min="40" max="40"/>
    <col width="9" customWidth="1" min="41" max="41"/>
    <col width="9" customWidth="1" min="42" max="42"/>
    <col width="7" customWidth="1" min="43" max="43"/>
    <col width="8" customWidth="1" min="44" max="44"/>
    <col width="10" customWidth="1" min="45" max="45"/>
    <col width="8" customWidth="1" min="46" max="46"/>
    <col width="30" customWidth="1" min="47" max="47"/>
  </cols>
  <sheetData>
    <row r="1" ht="16" customHeight="1">
      <c r="A1" s="23" t="inlineStr">
        <is>
          <t>ID</t>
        </is>
      </c>
      <c r="B1" s="23" t="inlineStr">
        <is>
          <t>group</t>
        </is>
      </c>
      <c r="C1" s="23" t="inlineStr">
        <is>
          <t>s01</t>
        </is>
      </c>
      <c r="D1" s="23" t="inlineStr">
        <is>
          <t>s02</t>
        </is>
      </c>
      <c r="E1" s="23" t="inlineStr">
        <is>
          <t>s03</t>
        </is>
      </c>
      <c r="F1" s="23" t="inlineStr">
        <is>
          <t>s04</t>
        </is>
      </c>
      <c r="G1" s="23" t="inlineStr">
        <is>
          <t>s05</t>
        </is>
      </c>
      <c r="H1" s="23" t="inlineStr">
        <is>
          <t>s06</t>
        </is>
      </c>
      <c r="I1" s="23" t="inlineStr">
        <is>
          <t>s07</t>
        </is>
      </c>
      <c r="J1" s="23" t="inlineStr">
        <is>
          <t>s08</t>
        </is>
      </c>
      <c r="K1" s="23" t="inlineStr">
        <is>
          <t>s09</t>
        </is>
      </c>
      <c r="L1" s="23" t="inlineStr">
        <is>
          <t>s10</t>
        </is>
      </c>
      <c r="M1" s="23" t="inlineStr">
        <is>
          <t>s11</t>
        </is>
      </c>
      <c r="N1" s="23" t="inlineStr">
        <is>
          <t>s12</t>
        </is>
      </c>
      <c r="O1" s="23" t="inlineStr">
        <is>
          <t>s13</t>
        </is>
      </c>
      <c r="P1" s="23" t="inlineStr">
        <is>
          <t>s14</t>
        </is>
      </c>
      <c r="Q1" s="23" t="inlineStr">
        <is>
          <t>s15</t>
        </is>
      </c>
      <c r="R1" s="23" t="inlineStr">
        <is>
          <t>s16</t>
        </is>
      </c>
      <c r="S1" s="23" t="inlineStr">
        <is>
          <t>s17</t>
        </is>
      </c>
      <c r="T1" s="23" t="inlineStr">
        <is>
          <t>s18</t>
        </is>
      </c>
      <c r="U1" s="23" t="inlineStr">
        <is>
          <t>s19</t>
        </is>
      </c>
      <c r="V1" s="23" t="inlineStr">
        <is>
          <t>s20</t>
        </is>
      </c>
      <c r="W1" s="23" t="inlineStr">
        <is>
          <t>s21</t>
        </is>
      </c>
      <c r="X1" s="23" t="inlineStr">
        <is>
          <t>s22</t>
        </is>
      </c>
      <c r="Y1" s="23" t="inlineStr">
        <is>
          <t>s23</t>
        </is>
      </c>
      <c r="Z1" s="23" t="inlineStr">
        <is>
          <t>s24</t>
        </is>
      </c>
      <c r="AA1" s="23" t="inlineStr">
        <is>
          <t>s25</t>
        </is>
      </c>
      <c r="AB1" s="23" t="inlineStr">
        <is>
          <t>s26</t>
        </is>
      </c>
      <c r="AC1" s="23" t="inlineStr">
        <is>
          <t>s27</t>
        </is>
      </c>
      <c r="AD1" s="23" t="inlineStr">
        <is>
          <t>s28</t>
        </is>
      </c>
      <c r="AE1" s="23" t="inlineStr">
        <is>
          <t>s29</t>
        </is>
      </c>
      <c r="AF1" s="23" t="inlineStr">
        <is>
          <t>s30</t>
        </is>
      </c>
      <c r="AG1" s="23" t="inlineStr">
        <is>
          <t>s31</t>
        </is>
      </c>
      <c r="AH1" s="23" t="inlineStr">
        <is>
          <t>s32</t>
        </is>
      </c>
      <c r="AI1" s="23" t="inlineStr">
        <is>
          <t>s33</t>
        </is>
      </c>
      <c r="AJ1" s="23" t="inlineStr">
        <is>
          <t>s34</t>
        </is>
      </c>
      <c r="AK1" s="23" t="inlineStr">
        <is>
          <t>s35</t>
        </is>
      </c>
      <c r="AL1" s="23" t="inlineStr">
        <is>
          <t>s36</t>
        </is>
      </c>
      <c r="AM1" s="23" t="inlineStr">
        <is>
          <t>attend_n</t>
        </is>
      </c>
      <c r="AN1" s="23" t="inlineStr">
        <is>
          <t>record_n</t>
        </is>
      </c>
      <c r="AO1" s="23" t="inlineStr">
        <is>
          <t>attend_rate</t>
        </is>
      </c>
      <c r="AP1" s="23" t="inlineStr">
        <is>
          <t>hr_main_pct</t>
        </is>
      </c>
      <c r="AQ1" s="23" t="inlineStr">
        <is>
          <t>hr_n</t>
        </is>
      </c>
      <c r="AR1" s="23" t="inlineStr">
        <is>
          <t>rpe_mean</t>
        </is>
      </c>
      <c r="AS1" s="23" t="inlineStr">
        <is>
          <t>reg_hr_wk</t>
        </is>
      </c>
      <c r="AT1" s="23" t="inlineStr">
        <is>
          <t>reg_rpe</t>
        </is>
      </c>
      <c r="AU1" s="23" t="inlineStr">
        <is>
          <t>adverse</t>
        </is>
      </c>
    </row>
    <row r="2" ht="58" customHeight="1">
      <c r="A2" s="24" t="inlineStr">
        <is>
          <t>대상자 ID
(직접 입력)</t>
        </is>
      </c>
      <c r="B2" s="25" t="inlineStr">
        <is>
          <t>집단
(자동)</t>
        </is>
      </c>
      <c r="C2" s="24" t="inlineStr">
        <is>
          <t>1회기
(1주)</t>
        </is>
      </c>
      <c r="D2" s="24" t="inlineStr">
        <is>
          <t>2회기
(1주)</t>
        </is>
      </c>
      <c r="E2" s="24" t="inlineStr">
        <is>
          <t>3회기
(1주)</t>
        </is>
      </c>
      <c r="F2" s="24" t="inlineStr">
        <is>
          <t>4회기
(2주)</t>
        </is>
      </c>
      <c r="G2" s="24" t="inlineStr">
        <is>
          <t>5회기
(2주)</t>
        </is>
      </c>
      <c r="H2" s="24" t="inlineStr">
        <is>
          <t>6회기
(2주)</t>
        </is>
      </c>
      <c r="I2" s="24" t="inlineStr">
        <is>
          <t>7회기
(3주)</t>
        </is>
      </c>
      <c r="J2" s="24" t="inlineStr">
        <is>
          <t>8회기
(3주)</t>
        </is>
      </c>
      <c r="K2" s="24" t="inlineStr">
        <is>
          <t>9회기
(3주)</t>
        </is>
      </c>
      <c r="L2" s="24" t="inlineStr">
        <is>
          <t>10회기
(4주)</t>
        </is>
      </c>
      <c r="M2" s="24" t="inlineStr">
        <is>
          <t>11회기
(4주)</t>
        </is>
      </c>
      <c r="N2" s="24" t="inlineStr">
        <is>
          <t>12회기
(4주)</t>
        </is>
      </c>
      <c r="O2" s="24" t="inlineStr">
        <is>
          <t>13회기
(5주)</t>
        </is>
      </c>
      <c r="P2" s="24" t="inlineStr">
        <is>
          <t>14회기
(5주)</t>
        </is>
      </c>
      <c r="Q2" s="24" t="inlineStr">
        <is>
          <t>15회기
(5주)</t>
        </is>
      </c>
      <c r="R2" s="24" t="inlineStr">
        <is>
          <t>16회기
(6주)</t>
        </is>
      </c>
      <c r="S2" s="24" t="inlineStr">
        <is>
          <t>17회기
(6주)</t>
        </is>
      </c>
      <c r="T2" s="24" t="inlineStr">
        <is>
          <t>18회기
(6주)</t>
        </is>
      </c>
      <c r="U2" s="24" t="inlineStr">
        <is>
          <t>19회기
(7주)</t>
        </is>
      </c>
      <c r="V2" s="24" t="inlineStr">
        <is>
          <t>20회기
(7주)</t>
        </is>
      </c>
      <c r="W2" s="24" t="inlineStr">
        <is>
          <t>21회기
(7주)</t>
        </is>
      </c>
      <c r="X2" s="24" t="inlineStr">
        <is>
          <t>22회기
(8주)</t>
        </is>
      </c>
      <c r="Y2" s="24" t="inlineStr">
        <is>
          <t>23회기
(8주)</t>
        </is>
      </c>
      <c r="Z2" s="24" t="inlineStr">
        <is>
          <t>24회기
(8주)</t>
        </is>
      </c>
      <c r="AA2" s="24" t="inlineStr">
        <is>
          <t>25회기
(9주)</t>
        </is>
      </c>
      <c r="AB2" s="24" t="inlineStr">
        <is>
          <t>26회기
(9주)</t>
        </is>
      </c>
      <c r="AC2" s="24" t="inlineStr">
        <is>
          <t>27회기
(9주)</t>
        </is>
      </c>
      <c r="AD2" s="24" t="inlineStr">
        <is>
          <t>28회기
(10주)</t>
        </is>
      </c>
      <c r="AE2" s="24" t="inlineStr">
        <is>
          <t>29회기
(10주)</t>
        </is>
      </c>
      <c r="AF2" s="24" t="inlineStr">
        <is>
          <t>30회기
(10주)</t>
        </is>
      </c>
      <c r="AG2" s="24" t="inlineStr">
        <is>
          <t>31회기
(11주)</t>
        </is>
      </c>
      <c r="AH2" s="24" t="inlineStr">
        <is>
          <t>32회기
(11주)</t>
        </is>
      </c>
      <c r="AI2" s="24" t="inlineStr">
        <is>
          <t>33회기
(11주)</t>
        </is>
      </c>
      <c r="AJ2" s="24" t="inlineStr">
        <is>
          <t>34회기
(12주)</t>
        </is>
      </c>
      <c r="AK2" s="24" t="inlineStr">
        <is>
          <t>35회기
(12주)</t>
        </is>
      </c>
      <c r="AL2" s="24" t="inlineStr">
        <is>
          <t>36회기
(12주)</t>
        </is>
      </c>
      <c r="AM2" s="25" t="inlineStr">
        <is>
          <t>출석
회기 수
(자동)</t>
        </is>
      </c>
      <c r="AN2" s="25" t="inlineStr">
        <is>
          <t>기록된
회기 수
(자동)</t>
        </is>
      </c>
      <c r="AO2" s="25" t="inlineStr">
        <is>
          <t>출석률
(실시 회기
기준, 자동)</t>
        </is>
      </c>
      <c r="AP2" s="24" t="inlineStr">
        <is>
          <t>본운동 구간
평균 심박
(%HRmax)</t>
        </is>
      </c>
      <c r="AQ2" s="24" t="inlineStr">
        <is>
          <t>심박 기록
회기 수</t>
        </is>
      </c>
      <c r="AR2" s="24" t="inlineStr">
        <is>
          <t>평균 세션
RPE
(척도: D6)</t>
        </is>
      </c>
      <c r="AS2" s="24" t="inlineStr">
        <is>
          <t>H-IFIT 제외
주당 정규훈련
시간(시간/주)</t>
        </is>
      </c>
      <c r="AT2" s="24" t="inlineStr">
        <is>
          <t>정규훈련
평균 강도
(RPE)</t>
        </is>
      </c>
      <c r="AU2" s="24" t="inlineStr">
        <is>
          <t>이상반응·부상·특이사항</t>
        </is>
      </c>
    </row>
    <row r="3">
      <c r="A3" s="28" t="inlineStr">
        <is>
          <t>예시</t>
        </is>
      </c>
      <c r="B3" s="38" t="n">
        <v>1</v>
      </c>
      <c r="C3" s="29" t="n">
        <v>1</v>
      </c>
      <c r="D3" s="29" t="n">
        <v>1</v>
      </c>
      <c r="E3" s="29" t="n">
        <v>1</v>
      </c>
      <c r="F3" s="29" t="n">
        <v>1</v>
      </c>
      <c r="G3" s="29" t="n">
        <v>1</v>
      </c>
      <c r="H3" s="29" t="n">
        <v>1</v>
      </c>
      <c r="I3" s="29" t="n">
        <v>1</v>
      </c>
      <c r="J3" s="29" t="n">
        <v>1</v>
      </c>
      <c r="K3" s="29" t="n">
        <v>1</v>
      </c>
      <c r="L3" s="29" t="n">
        <v>1</v>
      </c>
      <c r="M3" s="29" t="n">
        <v>1</v>
      </c>
      <c r="N3" s="29" t="n">
        <v>1</v>
      </c>
      <c r="O3" s="29" t="n">
        <v>1</v>
      </c>
      <c r="P3" s="29" t="n">
        <v>1</v>
      </c>
      <c r="Q3" s="29" t="n">
        <v>1</v>
      </c>
      <c r="R3" s="29" t="n">
        <v>1</v>
      </c>
      <c r="S3" s="29" t="n">
        <v>1</v>
      </c>
      <c r="T3" s="29" t="n">
        <v>1</v>
      </c>
      <c r="U3" s="29" t="n">
        <v>1</v>
      </c>
      <c r="V3" s="29" t="n">
        <v>1</v>
      </c>
      <c r="W3" s="29" t="n">
        <v>1</v>
      </c>
      <c r="X3" s="29" t="n">
        <v>1</v>
      </c>
      <c r="Y3" s="29" t="n">
        <v>0</v>
      </c>
      <c r="Z3" s="29" t="n">
        <v>1</v>
      </c>
      <c r="AA3" s="29" t="n">
        <v>1</v>
      </c>
      <c r="AB3" s="29" t="n">
        <v>1</v>
      </c>
      <c r="AC3" s="29" t="n">
        <v>1</v>
      </c>
      <c r="AD3" s="29" t="n">
        <v>1</v>
      </c>
      <c r="AE3" s="29" t="n">
        <v>1</v>
      </c>
      <c r="AF3" s="29" t="n">
        <v>1</v>
      </c>
      <c r="AG3" s="29" t="n">
        <v>1</v>
      </c>
      <c r="AH3" s="29" t="n">
        <v>1</v>
      </c>
      <c r="AI3" s="29" t="n">
        <v>1</v>
      </c>
      <c r="AJ3" s="29" t="n">
        <v>1</v>
      </c>
      <c r="AK3" s="29" t="n">
        <v>1</v>
      </c>
      <c r="AL3" s="29" t="n">
        <v>1</v>
      </c>
      <c r="AM3" s="38">
        <f>IF(COUNT(C3:AL3)=0,"",SUMPRODUCT((C3:AL3=1)*(($C$35:$AL$35=1)+($C$35:$AL$35=""))))</f>
        <v/>
      </c>
      <c r="AN3" s="38">
        <f>IF(COUNT(C3:AL3)=0,"",COUNT(C3:AL3))</f>
        <v/>
      </c>
      <c r="AO3" s="36">
        <f>IF(COUNT(C3:AL3)=0,"",IF((36-COUNTIF($C$35:$AL$35,0))=0,"",SUMPRODUCT((C3:AL3=1)*(($C$35:$AL$35=1)+($C$35:$AL$35="")))/(36-COUNTIF($C$35:$AL$35,0))))</f>
        <v/>
      </c>
      <c r="AP3" s="32" t="n">
        <v>88.5</v>
      </c>
      <c r="AQ3" s="29" t="n">
        <v>30</v>
      </c>
      <c r="AR3" s="32" t="n">
        <v>16.2</v>
      </c>
      <c r="AS3" s="32" t="n">
        <v>6</v>
      </c>
      <c r="AT3" s="32" t="n">
        <v>13</v>
      </c>
      <c r="AU3" s="52" t="inlineStr">
        <is>
          <t>8주차(23회기) 결석: 감기</t>
        </is>
      </c>
    </row>
    <row r="4">
      <c r="A4" s="40" t="n"/>
      <c r="B4" s="50">
        <f>IF($A4="","",IFERROR(IF(INDEX('대상자_VO2max'!$B$4:$B$33,MATCH($A4,'대상자_VO2max'!$A$4:$A$33,0))="","",INDEX('대상자_VO2max'!$B$4:$B$33,MATCH($A4,'대상자_VO2max'!$A$4:$A$33,0))),"ID없음"))</f>
        <v/>
      </c>
      <c r="C4" s="41" t="n"/>
      <c r="D4" s="41" t="n"/>
      <c r="E4" s="41" t="n"/>
      <c r="F4" s="41" t="n"/>
      <c r="G4" s="41" t="n"/>
      <c r="H4" s="41" t="n"/>
      <c r="I4" s="41" t="n"/>
      <c r="J4" s="41" t="n"/>
      <c r="K4" s="41" t="n"/>
      <c r="L4" s="41" t="n"/>
      <c r="M4" s="41" t="n"/>
      <c r="N4" s="41" t="n"/>
      <c r="O4" s="41" t="n"/>
      <c r="P4" s="41" t="n"/>
      <c r="Q4" s="41" t="n"/>
      <c r="R4" s="41" t="n"/>
      <c r="S4" s="41" t="n"/>
      <c r="T4" s="41" t="n"/>
      <c r="U4" s="41" t="n"/>
      <c r="V4" s="41" t="n"/>
      <c r="W4" s="41" t="n"/>
      <c r="X4" s="41" t="n"/>
      <c r="Y4" s="41" t="n"/>
      <c r="Z4" s="41" t="n"/>
      <c r="AA4" s="41" t="n"/>
      <c r="AB4" s="41" t="n"/>
      <c r="AC4" s="41" t="n"/>
      <c r="AD4" s="41" t="n"/>
      <c r="AE4" s="41" t="n"/>
      <c r="AF4" s="41" t="n"/>
      <c r="AG4" s="41" t="n"/>
      <c r="AH4" s="41" t="n"/>
      <c r="AI4" s="41" t="n"/>
      <c r="AJ4" s="41" t="n"/>
      <c r="AK4" s="41" t="n"/>
      <c r="AL4" s="41" t="n"/>
      <c r="AM4" s="50">
        <f>IF(COUNT(C4:AL4)=0,"",SUMPRODUCT((C4:AL4=1)*(($C$35:$AL$35=1)+($C$35:$AL$35=""))))</f>
        <v/>
      </c>
      <c r="AN4" s="50">
        <f>IF(COUNT(C4:AL4)=0,"",COUNT(C4:AL4))</f>
        <v/>
      </c>
      <c r="AO4" s="48">
        <f>IF(COUNT(C4:AL4)=0,"",IF((36-COUNTIF($C$35:$AL$35,0))=0,"",SUMPRODUCT((C4:AL4=1)*(($C$35:$AL$35=1)+($C$35:$AL$35="")))/(36-COUNTIF($C$35:$AL$35,0))))</f>
        <v/>
      </c>
      <c r="AP4" s="44" t="n"/>
      <c r="AQ4" s="41" t="n"/>
      <c r="AR4" s="44" t="n"/>
      <c r="AS4" s="44" t="n"/>
      <c r="AT4" s="44" t="n"/>
      <c r="AU4" s="53" t="n"/>
    </row>
    <row r="5">
      <c r="A5" s="40" t="n"/>
      <c r="B5" s="50">
        <f>IF($A5="","",IFERROR(IF(INDEX('대상자_VO2max'!$B$4:$B$33,MATCH($A5,'대상자_VO2max'!$A$4:$A$33,0))="","",INDEX('대상자_VO2max'!$B$4:$B$33,MATCH($A5,'대상자_VO2max'!$A$4:$A$33,0))),"ID없음"))</f>
        <v/>
      </c>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c r="AA5" s="41" t="n"/>
      <c r="AB5" s="41" t="n"/>
      <c r="AC5" s="41" t="n"/>
      <c r="AD5" s="41" t="n"/>
      <c r="AE5" s="41" t="n"/>
      <c r="AF5" s="41" t="n"/>
      <c r="AG5" s="41" t="n"/>
      <c r="AH5" s="41" t="n"/>
      <c r="AI5" s="41" t="n"/>
      <c r="AJ5" s="41" t="n"/>
      <c r="AK5" s="41" t="n"/>
      <c r="AL5" s="41" t="n"/>
      <c r="AM5" s="50">
        <f>IF(COUNT(C5:AL5)=0,"",SUMPRODUCT((C5:AL5=1)*(($C$35:$AL$35=1)+($C$35:$AL$35=""))))</f>
        <v/>
      </c>
      <c r="AN5" s="50">
        <f>IF(COUNT(C5:AL5)=0,"",COUNT(C5:AL5))</f>
        <v/>
      </c>
      <c r="AO5" s="48">
        <f>IF(COUNT(C5:AL5)=0,"",IF((36-COUNTIF($C$35:$AL$35,0))=0,"",SUMPRODUCT((C5:AL5=1)*(($C$35:$AL$35=1)+($C$35:$AL$35="")))/(36-COUNTIF($C$35:$AL$35,0))))</f>
        <v/>
      </c>
      <c r="AP5" s="44" t="n"/>
      <c r="AQ5" s="41" t="n"/>
      <c r="AR5" s="44" t="n"/>
      <c r="AS5" s="44" t="n"/>
      <c r="AT5" s="44" t="n"/>
      <c r="AU5" s="53" t="n"/>
    </row>
    <row r="6">
      <c r="A6" s="40" t="n"/>
      <c r="B6" s="50">
        <f>IF($A6="","",IFERROR(IF(INDEX('대상자_VO2max'!$B$4:$B$33,MATCH($A6,'대상자_VO2max'!$A$4:$A$33,0))="","",INDEX('대상자_VO2max'!$B$4:$B$33,MATCH($A6,'대상자_VO2max'!$A$4:$A$33,0))),"ID없음"))</f>
        <v/>
      </c>
      <c r="C6" s="41" t="n"/>
      <c r="D6" s="41" t="n"/>
      <c r="E6" s="41" t="n"/>
      <c r="F6" s="41" t="n"/>
      <c r="G6" s="41" t="n"/>
      <c r="H6" s="41" t="n"/>
      <c r="I6" s="41" t="n"/>
      <c r="J6" s="41" t="n"/>
      <c r="K6" s="41" t="n"/>
      <c r="L6" s="41" t="n"/>
      <c r="M6" s="41" t="n"/>
      <c r="N6" s="41" t="n"/>
      <c r="O6" s="41" t="n"/>
      <c r="P6" s="41" t="n"/>
      <c r="Q6" s="41" t="n"/>
      <c r="R6" s="41" t="n"/>
      <c r="S6" s="41" t="n"/>
      <c r="T6" s="41" t="n"/>
      <c r="U6" s="41" t="n"/>
      <c r="V6" s="41" t="n"/>
      <c r="W6" s="41" t="n"/>
      <c r="X6" s="41" t="n"/>
      <c r="Y6" s="41" t="n"/>
      <c r="Z6" s="41" t="n"/>
      <c r="AA6" s="41" t="n"/>
      <c r="AB6" s="41" t="n"/>
      <c r="AC6" s="41" t="n"/>
      <c r="AD6" s="41" t="n"/>
      <c r="AE6" s="41" t="n"/>
      <c r="AF6" s="41" t="n"/>
      <c r="AG6" s="41" t="n"/>
      <c r="AH6" s="41" t="n"/>
      <c r="AI6" s="41" t="n"/>
      <c r="AJ6" s="41" t="n"/>
      <c r="AK6" s="41" t="n"/>
      <c r="AL6" s="41" t="n"/>
      <c r="AM6" s="50">
        <f>IF(COUNT(C6:AL6)=0,"",SUMPRODUCT((C6:AL6=1)*(($C$35:$AL$35=1)+($C$35:$AL$35=""))))</f>
        <v/>
      </c>
      <c r="AN6" s="50">
        <f>IF(COUNT(C6:AL6)=0,"",COUNT(C6:AL6))</f>
        <v/>
      </c>
      <c r="AO6" s="48">
        <f>IF(COUNT(C6:AL6)=0,"",IF((36-COUNTIF($C$35:$AL$35,0))=0,"",SUMPRODUCT((C6:AL6=1)*(($C$35:$AL$35=1)+($C$35:$AL$35="")))/(36-COUNTIF($C$35:$AL$35,0))))</f>
        <v/>
      </c>
      <c r="AP6" s="44" t="n"/>
      <c r="AQ6" s="41" t="n"/>
      <c r="AR6" s="44" t="n"/>
      <c r="AS6" s="44" t="n"/>
      <c r="AT6" s="44" t="n"/>
      <c r="AU6" s="53" t="n"/>
    </row>
    <row r="7">
      <c r="A7" s="40" t="n"/>
      <c r="B7" s="50">
        <f>IF($A7="","",IFERROR(IF(INDEX('대상자_VO2max'!$B$4:$B$33,MATCH($A7,'대상자_VO2max'!$A$4:$A$33,0))="","",INDEX('대상자_VO2max'!$B$4:$B$33,MATCH($A7,'대상자_VO2max'!$A$4:$A$33,0))),"ID없음"))</f>
        <v/>
      </c>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c r="AE7" s="41" t="n"/>
      <c r="AF7" s="41" t="n"/>
      <c r="AG7" s="41" t="n"/>
      <c r="AH7" s="41" t="n"/>
      <c r="AI7" s="41" t="n"/>
      <c r="AJ7" s="41" t="n"/>
      <c r="AK7" s="41" t="n"/>
      <c r="AL7" s="41" t="n"/>
      <c r="AM7" s="50">
        <f>IF(COUNT(C7:AL7)=0,"",SUMPRODUCT((C7:AL7=1)*(($C$35:$AL$35=1)+($C$35:$AL$35=""))))</f>
        <v/>
      </c>
      <c r="AN7" s="50">
        <f>IF(COUNT(C7:AL7)=0,"",COUNT(C7:AL7))</f>
        <v/>
      </c>
      <c r="AO7" s="48">
        <f>IF(COUNT(C7:AL7)=0,"",IF((36-COUNTIF($C$35:$AL$35,0))=0,"",SUMPRODUCT((C7:AL7=1)*(($C$35:$AL$35=1)+($C$35:$AL$35="")))/(36-COUNTIF($C$35:$AL$35,0))))</f>
        <v/>
      </c>
      <c r="AP7" s="44" t="n"/>
      <c r="AQ7" s="41" t="n"/>
      <c r="AR7" s="44" t="n"/>
      <c r="AS7" s="44" t="n"/>
      <c r="AT7" s="44" t="n"/>
      <c r="AU7" s="53" t="n"/>
    </row>
    <row r="8">
      <c r="A8" s="40" t="n"/>
      <c r="B8" s="50">
        <f>IF($A8="","",IFERROR(IF(INDEX('대상자_VO2max'!$B$4:$B$33,MATCH($A8,'대상자_VO2max'!$A$4:$A$33,0))="","",INDEX('대상자_VO2max'!$B$4:$B$33,MATCH($A8,'대상자_VO2max'!$A$4:$A$33,0))),"ID없음"))</f>
        <v/>
      </c>
      <c r="C8" s="41" t="n"/>
      <c r="D8" s="41" t="n"/>
      <c r="E8" s="41" t="n"/>
      <c r="F8" s="41" t="n"/>
      <c r="G8" s="41" t="n"/>
      <c r="H8" s="41" t="n"/>
      <c r="I8" s="41" t="n"/>
      <c r="J8" s="41" t="n"/>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50">
        <f>IF(COUNT(C8:AL8)=0,"",SUMPRODUCT((C8:AL8=1)*(($C$35:$AL$35=1)+($C$35:$AL$35=""))))</f>
        <v/>
      </c>
      <c r="AN8" s="50">
        <f>IF(COUNT(C8:AL8)=0,"",COUNT(C8:AL8))</f>
        <v/>
      </c>
      <c r="AO8" s="48">
        <f>IF(COUNT(C8:AL8)=0,"",IF((36-COUNTIF($C$35:$AL$35,0))=0,"",SUMPRODUCT((C8:AL8=1)*(($C$35:$AL$35=1)+($C$35:$AL$35="")))/(36-COUNTIF($C$35:$AL$35,0))))</f>
        <v/>
      </c>
      <c r="AP8" s="44" t="n"/>
      <c r="AQ8" s="41" t="n"/>
      <c r="AR8" s="44" t="n"/>
      <c r="AS8" s="44" t="n"/>
      <c r="AT8" s="44" t="n"/>
      <c r="AU8" s="53" t="n"/>
    </row>
    <row r="9">
      <c r="A9" s="40" t="n"/>
      <c r="B9" s="50">
        <f>IF($A9="","",IFERROR(IF(INDEX('대상자_VO2max'!$B$4:$B$33,MATCH($A9,'대상자_VO2max'!$A$4:$A$33,0))="","",INDEX('대상자_VO2max'!$B$4:$B$33,MATCH($A9,'대상자_VO2max'!$A$4:$A$33,0))),"ID없음"))</f>
        <v/>
      </c>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c r="AA9" s="41" t="n"/>
      <c r="AB9" s="41" t="n"/>
      <c r="AC9" s="41" t="n"/>
      <c r="AD9" s="41" t="n"/>
      <c r="AE9" s="41" t="n"/>
      <c r="AF9" s="41" t="n"/>
      <c r="AG9" s="41" t="n"/>
      <c r="AH9" s="41" t="n"/>
      <c r="AI9" s="41" t="n"/>
      <c r="AJ9" s="41" t="n"/>
      <c r="AK9" s="41" t="n"/>
      <c r="AL9" s="41" t="n"/>
      <c r="AM9" s="50">
        <f>IF(COUNT(C9:AL9)=0,"",SUMPRODUCT((C9:AL9=1)*(($C$35:$AL$35=1)+($C$35:$AL$35=""))))</f>
        <v/>
      </c>
      <c r="AN9" s="50">
        <f>IF(COUNT(C9:AL9)=0,"",COUNT(C9:AL9))</f>
        <v/>
      </c>
      <c r="AO9" s="48">
        <f>IF(COUNT(C9:AL9)=0,"",IF((36-COUNTIF($C$35:$AL$35,0))=0,"",SUMPRODUCT((C9:AL9=1)*(($C$35:$AL$35=1)+($C$35:$AL$35="")))/(36-COUNTIF($C$35:$AL$35,0))))</f>
        <v/>
      </c>
      <c r="AP9" s="44" t="n"/>
      <c r="AQ9" s="41" t="n"/>
      <c r="AR9" s="44" t="n"/>
      <c r="AS9" s="44" t="n"/>
      <c r="AT9" s="44" t="n"/>
      <c r="AU9" s="53" t="n"/>
    </row>
    <row r="10">
      <c r="A10" s="40" t="n"/>
      <c r="B10" s="50">
        <f>IF($A10="","",IFERROR(IF(INDEX('대상자_VO2max'!$B$4:$B$33,MATCH($A10,'대상자_VO2max'!$A$4:$A$33,0))="","",INDEX('대상자_VO2max'!$B$4:$B$33,MATCH($A10,'대상자_VO2max'!$A$4:$A$33,0))),"ID없음"))</f>
        <v/>
      </c>
      <c r="C10" s="41" t="n"/>
      <c r="D10" s="41" t="n"/>
      <c r="E10" s="41" t="n"/>
      <c r="F10" s="41" t="n"/>
      <c r="G10" s="41" t="n"/>
      <c r="H10" s="41"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50">
        <f>IF(COUNT(C10:AL10)=0,"",SUMPRODUCT((C10:AL10=1)*(($C$35:$AL$35=1)+($C$35:$AL$35=""))))</f>
        <v/>
      </c>
      <c r="AN10" s="50">
        <f>IF(COUNT(C10:AL10)=0,"",COUNT(C10:AL10))</f>
        <v/>
      </c>
      <c r="AO10" s="48">
        <f>IF(COUNT(C10:AL10)=0,"",IF((36-COUNTIF($C$35:$AL$35,0))=0,"",SUMPRODUCT((C10:AL10=1)*(($C$35:$AL$35=1)+($C$35:$AL$35="")))/(36-COUNTIF($C$35:$AL$35,0))))</f>
        <v/>
      </c>
      <c r="AP10" s="44" t="n"/>
      <c r="AQ10" s="41" t="n"/>
      <c r="AR10" s="44" t="n"/>
      <c r="AS10" s="44" t="n"/>
      <c r="AT10" s="44" t="n"/>
      <c r="AU10" s="53" t="n"/>
    </row>
    <row r="11">
      <c r="A11" s="40" t="n"/>
      <c r="B11" s="50">
        <f>IF($A11="","",IFERROR(IF(INDEX('대상자_VO2max'!$B$4:$B$33,MATCH($A11,'대상자_VO2max'!$A$4:$A$33,0))="","",INDEX('대상자_VO2max'!$B$4:$B$33,MATCH($A11,'대상자_VO2max'!$A$4:$A$33,0))),"ID없음"))</f>
        <v/>
      </c>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c r="AA11" s="41" t="n"/>
      <c r="AB11" s="41" t="n"/>
      <c r="AC11" s="41" t="n"/>
      <c r="AD11" s="41" t="n"/>
      <c r="AE11" s="41" t="n"/>
      <c r="AF11" s="41" t="n"/>
      <c r="AG11" s="41" t="n"/>
      <c r="AH11" s="41" t="n"/>
      <c r="AI11" s="41" t="n"/>
      <c r="AJ11" s="41" t="n"/>
      <c r="AK11" s="41" t="n"/>
      <c r="AL11" s="41" t="n"/>
      <c r="AM11" s="50">
        <f>IF(COUNT(C11:AL11)=0,"",SUMPRODUCT((C11:AL11=1)*(($C$35:$AL$35=1)+($C$35:$AL$35=""))))</f>
        <v/>
      </c>
      <c r="AN11" s="50">
        <f>IF(COUNT(C11:AL11)=0,"",COUNT(C11:AL11))</f>
        <v/>
      </c>
      <c r="AO11" s="48">
        <f>IF(COUNT(C11:AL11)=0,"",IF((36-COUNTIF($C$35:$AL$35,0))=0,"",SUMPRODUCT((C11:AL11=1)*(($C$35:$AL$35=1)+($C$35:$AL$35="")))/(36-COUNTIF($C$35:$AL$35,0))))</f>
        <v/>
      </c>
      <c r="AP11" s="44" t="n"/>
      <c r="AQ11" s="41" t="n"/>
      <c r="AR11" s="44" t="n"/>
      <c r="AS11" s="44" t="n"/>
      <c r="AT11" s="44" t="n"/>
      <c r="AU11" s="53" t="n"/>
    </row>
    <row r="12">
      <c r="A12" s="40" t="n"/>
      <c r="B12" s="50">
        <f>IF($A12="","",IFERROR(IF(INDEX('대상자_VO2max'!$B$4:$B$33,MATCH($A12,'대상자_VO2max'!$A$4:$A$33,0))="","",INDEX('대상자_VO2max'!$B$4:$B$33,MATCH($A12,'대상자_VO2max'!$A$4:$A$33,0))),"ID없음"))</f>
        <v/>
      </c>
      <c r="C12" s="41" t="n"/>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1" t="n"/>
      <c r="AC12" s="41" t="n"/>
      <c r="AD12" s="41" t="n"/>
      <c r="AE12" s="41" t="n"/>
      <c r="AF12" s="41" t="n"/>
      <c r="AG12" s="41" t="n"/>
      <c r="AH12" s="41" t="n"/>
      <c r="AI12" s="41" t="n"/>
      <c r="AJ12" s="41" t="n"/>
      <c r="AK12" s="41" t="n"/>
      <c r="AL12" s="41" t="n"/>
      <c r="AM12" s="50">
        <f>IF(COUNT(C12:AL12)=0,"",SUMPRODUCT((C12:AL12=1)*(($C$35:$AL$35=1)+($C$35:$AL$35=""))))</f>
        <v/>
      </c>
      <c r="AN12" s="50">
        <f>IF(COUNT(C12:AL12)=0,"",COUNT(C12:AL12))</f>
        <v/>
      </c>
      <c r="AO12" s="48">
        <f>IF(COUNT(C12:AL12)=0,"",IF((36-COUNTIF($C$35:$AL$35,0))=0,"",SUMPRODUCT((C12:AL12=1)*(($C$35:$AL$35=1)+($C$35:$AL$35="")))/(36-COUNTIF($C$35:$AL$35,0))))</f>
        <v/>
      </c>
      <c r="AP12" s="44" t="n"/>
      <c r="AQ12" s="41" t="n"/>
      <c r="AR12" s="44" t="n"/>
      <c r="AS12" s="44" t="n"/>
      <c r="AT12" s="44" t="n"/>
      <c r="AU12" s="53" t="n"/>
    </row>
    <row r="13">
      <c r="A13" s="40" t="n"/>
      <c r="B13" s="50">
        <f>IF($A13="","",IFERROR(IF(INDEX('대상자_VO2max'!$B$4:$B$33,MATCH($A13,'대상자_VO2max'!$A$4:$A$33,0))="","",INDEX('대상자_VO2max'!$B$4:$B$33,MATCH($A13,'대상자_VO2max'!$A$4:$A$33,0))),"ID없음"))</f>
        <v/>
      </c>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c r="AA13" s="41" t="n"/>
      <c r="AB13" s="41" t="n"/>
      <c r="AC13" s="41" t="n"/>
      <c r="AD13" s="41" t="n"/>
      <c r="AE13" s="41" t="n"/>
      <c r="AF13" s="41" t="n"/>
      <c r="AG13" s="41" t="n"/>
      <c r="AH13" s="41" t="n"/>
      <c r="AI13" s="41" t="n"/>
      <c r="AJ13" s="41" t="n"/>
      <c r="AK13" s="41" t="n"/>
      <c r="AL13" s="41" t="n"/>
      <c r="AM13" s="50">
        <f>IF(COUNT(C13:AL13)=0,"",SUMPRODUCT((C13:AL13=1)*(($C$35:$AL$35=1)+($C$35:$AL$35=""))))</f>
        <v/>
      </c>
      <c r="AN13" s="50">
        <f>IF(COUNT(C13:AL13)=0,"",COUNT(C13:AL13))</f>
        <v/>
      </c>
      <c r="AO13" s="48">
        <f>IF(COUNT(C13:AL13)=0,"",IF((36-COUNTIF($C$35:$AL$35,0))=0,"",SUMPRODUCT((C13:AL13=1)*(($C$35:$AL$35=1)+($C$35:$AL$35="")))/(36-COUNTIF($C$35:$AL$35,0))))</f>
        <v/>
      </c>
      <c r="AP13" s="44" t="n"/>
      <c r="AQ13" s="41" t="n"/>
      <c r="AR13" s="44" t="n"/>
      <c r="AS13" s="44" t="n"/>
      <c r="AT13" s="44" t="n"/>
      <c r="AU13" s="53" t="n"/>
    </row>
    <row r="14">
      <c r="A14" s="40" t="n"/>
      <c r="B14" s="50">
        <f>IF($A14="","",IFERROR(IF(INDEX('대상자_VO2max'!$B$4:$B$33,MATCH($A14,'대상자_VO2max'!$A$4:$A$33,0))="","",INDEX('대상자_VO2max'!$B$4:$B$33,MATCH($A14,'대상자_VO2max'!$A$4:$A$33,0))),"ID없음"))</f>
        <v/>
      </c>
      <c r="C14" s="41" t="n"/>
      <c r="D14" s="41" t="n"/>
      <c r="E14" s="41" t="n"/>
      <c r="F14" s="41" t="n"/>
      <c r="G14" s="41" t="n"/>
      <c r="H14" s="41" t="n"/>
      <c r="I14" s="41" t="n"/>
      <c r="J14" s="41" t="n"/>
      <c r="K14" s="41" t="n"/>
      <c r="L14" s="41" t="n"/>
      <c r="M14" s="41" t="n"/>
      <c r="N14" s="41" t="n"/>
      <c r="O14" s="41" t="n"/>
      <c r="P14" s="41" t="n"/>
      <c r="Q14" s="41" t="n"/>
      <c r="R14" s="41" t="n"/>
      <c r="S14" s="41" t="n"/>
      <c r="T14" s="41" t="n"/>
      <c r="U14" s="41" t="n"/>
      <c r="V14" s="41" t="n"/>
      <c r="W14" s="41" t="n"/>
      <c r="X14" s="41" t="n"/>
      <c r="Y14" s="41" t="n"/>
      <c r="Z14" s="41" t="n"/>
      <c r="AA14" s="41" t="n"/>
      <c r="AB14" s="41" t="n"/>
      <c r="AC14" s="41" t="n"/>
      <c r="AD14" s="41" t="n"/>
      <c r="AE14" s="41" t="n"/>
      <c r="AF14" s="41" t="n"/>
      <c r="AG14" s="41" t="n"/>
      <c r="AH14" s="41" t="n"/>
      <c r="AI14" s="41" t="n"/>
      <c r="AJ14" s="41" t="n"/>
      <c r="AK14" s="41" t="n"/>
      <c r="AL14" s="41" t="n"/>
      <c r="AM14" s="50">
        <f>IF(COUNT(C14:AL14)=0,"",SUMPRODUCT((C14:AL14=1)*(($C$35:$AL$35=1)+($C$35:$AL$35=""))))</f>
        <v/>
      </c>
      <c r="AN14" s="50">
        <f>IF(COUNT(C14:AL14)=0,"",COUNT(C14:AL14))</f>
        <v/>
      </c>
      <c r="AO14" s="48">
        <f>IF(COUNT(C14:AL14)=0,"",IF((36-COUNTIF($C$35:$AL$35,0))=0,"",SUMPRODUCT((C14:AL14=1)*(($C$35:$AL$35=1)+($C$35:$AL$35="")))/(36-COUNTIF($C$35:$AL$35,0))))</f>
        <v/>
      </c>
      <c r="AP14" s="44" t="n"/>
      <c r="AQ14" s="41" t="n"/>
      <c r="AR14" s="44" t="n"/>
      <c r="AS14" s="44" t="n"/>
      <c r="AT14" s="44" t="n"/>
      <c r="AU14" s="53" t="n"/>
    </row>
    <row r="15">
      <c r="A15" s="40" t="n"/>
      <c r="B15" s="50">
        <f>IF($A15="","",IFERROR(IF(INDEX('대상자_VO2max'!$B$4:$B$33,MATCH($A15,'대상자_VO2max'!$A$4:$A$33,0))="","",INDEX('대상자_VO2max'!$B$4:$B$33,MATCH($A15,'대상자_VO2max'!$A$4:$A$33,0))),"ID없음"))</f>
        <v/>
      </c>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c r="AA15" s="41" t="n"/>
      <c r="AB15" s="41" t="n"/>
      <c r="AC15" s="41" t="n"/>
      <c r="AD15" s="41" t="n"/>
      <c r="AE15" s="41" t="n"/>
      <c r="AF15" s="41" t="n"/>
      <c r="AG15" s="41" t="n"/>
      <c r="AH15" s="41" t="n"/>
      <c r="AI15" s="41" t="n"/>
      <c r="AJ15" s="41" t="n"/>
      <c r="AK15" s="41" t="n"/>
      <c r="AL15" s="41" t="n"/>
      <c r="AM15" s="50">
        <f>IF(COUNT(C15:AL15)=0,"",SUMPRODUCT((C15:AL15=1)*(($C$35:$AL$35=1)+($C$35:$AL$35=""))))</f>
        <v/>
      </c>
      <c r="AN15" s="50">
        <f>IF(COUNT(C15:AL15)=0,"",COUNT(C15:AL15))</f>
        <v/>
      </c>
      <c r="AO15" s="48">
        <f>IF(COUNT(C15:AL15)=0,"",IF((36-COUNTIF($C$35:$AL$35,0))=0,"",SUMPRODUCT((C15:AL15=1)*(($C$35:$AL$35=1)+($C$35:$AL$35="")))/(36-COUNTIF($C$35:$AL$35,0))))</f>
        <v/>
      </c>
      <c r="AP15" s="44" t="n"/>
      <c r="AQ15" s="41" t="n"/>
      <c r="AR15" s="44" t="n"/>
      <c r="AS15" s="44" t="n"/>
      <c r="AT15" s="44" t="n"/>
      <c r="AU15" s="53" t="n"/>
    </row>
    <row r="16">
      <c r="A16" s="40" t="n"/>
      <c r="B16" s="50">
        <f>IF($A16="","",IFERROR(IF(INDEX('대상자_VO2max'!$B$4:$B$33,MATCH($A16,'대상자_VO2max'!$A$4:$A$33,0))="","",INDEX('대상자_VO2max'!$B$4:$B$33,MATCH($A16,'대상자_VO2max'!$A$4:$A$33,0))),"ID없음"))</f>
        <v/>
      </c>
      <c r="C16" s="41" t="n"/>
      <c r="D16" s="41" t="n"/>
      <c r="E16" s="41" t="n"/>
      <c r="F16" s="41" t="n"/>
      <c r="G16" s="41" t="n"/>
      <c r="H16" s="41" t="n"/>
      <c r="I16" s="41" t="n"/>
      <c r="J16" s="41" t="n"/>
      <c r="K16" s="41" t="n"/>
      <c r="L16" s="41" t="n"/>
      <c r="M16" s="41" t="n"/>
      <c r="N16" s="41" t="n"/>
      <c r="O16" s="41" t="n"/>
      <c r="P16" s="41" t="n"/>
      <c r="Q16" s="41" t="n"/>
      <c r="R16" s="41" t="n"/>
      <c r="S16" s="41" t="n"/>
      <c r="T16" s="41" t="n"/>
      <c r="U16" s="41" t="n"/>
      <c r="V16" s="41" t="n"/>
      <c r="W16" s="41" t="n"/>
      <c r="X16" s="41" t="n"/>
      <c r="Y16" s="41" t="n"/>
      <c r="Z16" s="41" t="n"/>
      <c r="AA16" s="41" t="n"/>
      <c r="AB16" s="41" t="n"/>
      <c r="AC16" s="41" t="n"/>
      <c r="AD16" s="41" t="n"/>
      <c r="AE16" s="41" t="n"/>
      <c r="AF16" s="41" t="n"/>
      <c r="AG16" s="41" t="n"/>
      <c r="AH16" s="41" t="n"/>
      <c r="AI16" s="41" t="n"/>
      <c r="AJ16" s="41" t="n"/>
      <c r="AK16" s="41" t="n"/>
      <c r="AL16" s="41" t="n"/>
      <c r="AM16" s="50">
        <f>IF(COUNT(C16:AL16)=0,"",SUMPRODUCT((C16:AL16=1)*(($C$35:$AL$35=1)+($C$35:$AL$35=""))))</f>
        <v/>
      </c>
      <c r="AN16" s="50">
        <f>IF(COUNT(C16:AL16)=0,"",COUNT(C16:AL16))</f>
        <v/>
      </c>
      <c r="AO16" s="48">
        <f>IF(COUNT(C16:AL16)=0,"",IF((36-COUNTIF($C$35:$AL$35,0))=0,"",SUMPRODUCT((C16:AL16=1)*(($C$35:$AL$35=1)+($C$35:$AL$35="")))/(36-COUNTIF($C$35:$AL$35,0))))</f>
        <v/>
      </c>
      <c r="AP16" s="44" t="n"/>
      <c r="AQ16" s="41" t="n"/>
      <c r="AR16" s="44" t="n"/>
      <c r="AS16" s="44" t="n"/>
      <c r="AT16" s="44" t="n"/>
      <c r="AU16" s="53" t="n"/>
    </row>
    <row r="17">
      <c r="A17" s="40" t="n"/>
      <c r="B17" s="50">
        <f>IF($A17="","",IFERROR(IF(INDEX('대상자_VO2max'!$B$4:$B$33,MATCH($A17,'대상자_VO2max'!$A$4:$A$33,0))="","",INDEX('대상자_VO2max'!$B$4:$B$33,MATCH($A17,'대상자_VO2max'!$A$4:$A$33,0))),"ID없음"))</f>
        <v/>
      </c>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c r="AA17" s="41" t="n"/>
      <c r="AB17" s="41" t="n"/>
      <c r="AC17" s="41" t="n"/>
      <c r="AD17" s="41" t="n"/>
      <c r="AE17" s="41" t="n"/>
      <c r="AF17" s="41" t="n"/>
      <c r="AG17" s="41" t="n"/>
      <c r="AH17" s="41" t="n"/>
      <c r="AI17" s="41" t="n"/>
      <c r="AJ17" s="41" t="n"/>
      <c r="AK17" s="41" t="n"/>
      <c r="AL17" s="41" t="n"/>
      <c r="AM17" s="50">
        <f>IF(COUNT(C17:AL17)=0,"",SUMPRODUCT((C17:AL17=1)*(($C$35:$AL$35=1)+($C$35:$AL$35=""))))</f>
        <v/>
      </c>
      <c r="AN17" s="50">
        <f>IF(COUNT(C17:AL17)=0,"",COUNT(C17:AL17))</f>
        <v/>
      </c>
      <c r="AO17" s="48">
        <f>IF(COUNT(C17:AL17)=0,"",IF((36-COUNTIF($C$35:$AL$35,0))=0,"",SUMPRODUCT((C17:AL17=1)*(($C$35:$AL$35=1)+($C$35:$AL$35="")))/(36-COUNTIF($C$35:$AL$35,0))))</f>
        <v/>
      </c>
      <c r="AP17" s="44" t="n"/>
      <c r="AQ17" s="41" t="n"/>
      <c r="AR17" s="44" t="n"/>
      <c r="AS17" s="44" t="n"/>
      <c r="AT17" s="44" t="n"/>
      <c r="AU17" s="53" t="n"/>
    </row>
    <row r="18">
      <c r="A18" s="40" t="n"/>
      <c r="B18" s="50">
        <f>IF($A18="","",IFERROR(IF(INDEX('대상자_VO2max'!$B$4:$B$33,MATCH($A18,'대상자_VO2max'!$A$4:$A$33,0))="","",INDEX('대상자_VO2max'!$B$4:$B$33,MATCH($A18,'대상자_VO2max'!$A$4:$A$33,0))),"ID없음"))</f>
        <v/>
      </c>
      <c r="C18" s="41" t="n"/>
      <c r="D18" s="41" t="n"/>
      <c r="E18" s="41" t="n"/>
      <c r="F18" s="41" t="n"/>
      <c r="G18" s="41" t="n"/>
      <c r="H18" s="41" t="n"/>
      <c r="I18" s="41" t="n"/>
      <c r="J18" s="41" t="n"/>
      <c r="K18" s="41" t="n"/>
      <c r="L18" s="41" t="n"/>
      <c r="M18" s="41" t="n"/>
      <c r="N18" s="41" t="n"/>
      <c r="O18" s="41" t="n"/>
      <c r="P18" s="41" t="n"/>
      <c r="Q18" s="41" t="n"/>
      <c r="R18" s="41" t="n"/>
      <c r="S18" s="41" t="n"/>
      <c r="T18" s="41" t="n"/>
      <c r="U18" s="41" t="n"/>
      <c r="V18" s="41" t="n"/>
      <c r="W18" s="41" t="n"/>
      <c r="X18" s="41" t="n"/>
      <c r="Y18" s="41" t="n"/>
      <c r="Z18" s="41" t="n"/>
      <c r="AA18" s="41" t="n"/>
      <c r="AB18" s="41" t="n"/>
      <c r="AC18" s="41" t="n"/>
      <c r="AD18" s="41" t="n"/>
      <c r="AE18" s="41" t="n"/>
      <c r="AF18" s="41" t="n"/>
      <c r="AG18" s="41" t="n"/>
      <c r="AH18" s="41" t="n"/>
      <c r="AI18" s="41" t="n"/>
      <c r="AJ18" s="41" t="n"/>
      <c r="AK18" s="41" t="n"/>
      <c r="AL18" s="41" t="n"/>
      <c r="AM18" s="50">
        <f>IF(COUNT(C18:AL18)=0,"",SUMPRODUCT((C18:AL18=1)*(($C$35:$AL$35=1)+($C$35:$AL$35=""))))</f>
        <v/>
      </c>
      <c r="AN18" s="50">
        <f>IF(COUNT(C18:AL18)=0,"",COUNT(C18:AL18))</f>
        <v/>
      </c>
      <c r="AO18" s="48">
        <f>IF(COUNT(C18:AL18)=0,"",IF((36-COUNTIF($C$35:$AL$35,0))=0,"",SUMPRODUCT((C18:AL18=1)*(($C$35:$AL$35=1)+($C$35:$AL$35="")))/(36-COUNTIF($C$35:$AL$35,0))))</f>
        <v/>
      </c>
      <c r="AP18" s="44" t="n"/>
      <c r="AQ18" s="41" t="n"/>
      <c r="AR18" s="44" t="n"/>
      <c r="AS18" s="44" t="n"/>
      <c r="AT18" s="44" t="n"/>
      <c r="AU18" s="53" t="n"/>
    </row>
    <row r="19">
      <c r="A19" s="40" t="n"/>
      <c r="B19" s="50">
        <f>IF($A19="","",IFERROR(IF(INDEX('대상자_VO2max'!$B$4:$B$33,MATCH($A19,'대상자_VO2max'!$A$4:$A$33,0))="","",INDEX('대상자_VO2max'!$B$4:$B$33,MATCH($A19,'대상자_VO2max'!$A$4:$A$33,0))),"ID없음"))</f>
        <v/>
      </c>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c r="AA19" s="41" t="n"/>
      <c r="AB19" s="41" t="n"/>
      <c r="AC19" s="41" t="n"/>
      <c r="AD19" s="41" t="n"/>
      <c r="AE19" s="41" t="n"/>
      <c r="AF19" s="41" t="n"/>
      <c r="AG19" s="41" t="n"/>
      <c r="AH19" s="41" t="n"/>
      <c r="AI19" s="41" t="n"/>
      <c r="AJ19" s="41" t="n"/>
      <c r="AK19" s="41" t="n"/>
      <c r="AL19" s="41" t="n"/>
      <c r="AM19" s="50">
        <f>IF(COUNT(C19:AL19)=0,"",SUMPRODUCT((C19:AL19=1)*(($C$35:$AL$35=1)+($C$35:$AL$35=""))))</f>
        <v/>
      </c>
      <c r="AN19" s="50">
        <f>IF(COUNT(C19:AL19)=0,"",COUNT(C19:AL19))</f>
        <v/>
      </c>
      <c r="AO19" s="48">
        <f>IF(COUNT(C19:AL19)=0,"",IF((36-COUNTIF($C$35:$AL$35,0))=0,"",SUMPRODUCT((C19:AL19=1)*(($C$35:$AL$35=1)+($C$35:$AL$35="")))/(36-COUNTIF($C$35:$AL$35,0))))</f>
        <v/>
      </c>
      <c r="AP19" s="44" t="n"/>
      <c r="AQ19" s="41" t="n"/>
      <c r="AR19" s="44" t="n"/>
      <c r="AS19" s="44" t="n"/>
      <c r="AT19" s="44" t="n"/>
      <c r="AU19" s="53" t="n"/>
    </row>
    <row r="20">
      <c r="A20" s="40" t="n"/>
      <c r="B20" s="50">
        <f>IF($A20="","",IFERROR(IF(INDEX('대상자_VO2max'!$B$4:$B$33,MATCH($A20,'대상자_VO2max'!$A$4:$A$33,0))="","",INDEX('대상자_VO2max'!$B$4:$B$33,MATCH($A20,'대상자_VO2max'!$A$4:$A$33,0))),"ID없음"))</f>
        <v/>
      </c>
      <c r="C20" s="41" t="n"/>
      <c r="D20" s="41" t="n"/>
      <c r="E20" s="41" t="n"/>
      <c r="F20" s="41" t="n"/>
      <c r="G20" s="41" t="n"/>
      <c r="H20" s="41" t="n"/>
      <c r="I20" s="41" t="n"/>
      <c r="J20" s="41" t="n"/>
      <c r="K20" s="41" t="n"/>
      <c r="L20" s="41" t="n"/>
      <c r="M20" s="41" t="n"/>
      <c r="N20" s="41" t="n"/>
      <c r="O20" s="41" t="n"/>
      <c r="P20" s="41" t="n"/>
      <c r="Q20" s="41" t="n"/>
      <c r="R20" s="41" t="n"/>
      <c r="S20" s="41" t="n"/>
      <c r="T20" s="41" t="n"/>
      <c r="U20" s="41" t="n"/>
      <c r="V20" s="41" t="n"/>
      <c r="W20" s="41" t="n"/>
      <c r="X20" s="41" t="n"/>
      <c r="Y20" s="41" t="n"/>
      <c r="Z20" s="41" t="n"/>
      <c r="AA20" s="41" t="n"/>
      <c r="AB20" s="41" t="n"/>
      <c r="AC20" s="41" t="n"/>
      <c r="AD20" s="41" t="n"/>
      <c r="AE20" s="41" t="n"/>
      <c r="AF20" s="41" t="n"/>
      <c r="AG20" s="41" t="n"/>
      <c r="AH20" s="41" t="n"/>
      <c r="AI20" s="41" t="n"/>
      <c r="AJ20" s="41" t="n"/>
      <c r="AK20" s="41" t="n"/>
      <c r="AL20" s="41" t="n"/>
      <c r="AM20" s="50">
        <f>IF(COUNT(C20:AL20)=0,"",SUMPRODUCT((C20:AL20=1)*(($C$35:$AL$35=1)+($C$35:$AL$35=""))))</f>
        <v/>
      </c>
      <c r="AN20" s="50">
        <f>IF(COUNT(C20:AL20)=0,"",COUNT(C20:AL20))</f>
        <v/>
      </c>
      <c r="AO20" s="48">
        <f>IF(COUNT(C20:AL20)=0,"",IF((36-COUNTIF($C$35:$AL$35,0))=0,"",SUMPRODUCT((C20:AL20=1)*(($C$35:$AL$35=1)+($C$35:$AL$35="")))/(36-COUNTIF($C$35:$AL$35,0))))</f>
        <v/>
      </c>
      <c r="AP20" s="44" t="n"/>
      <c r="AQ20" s="41" t="n"/>
      <c r="AR20" s="44" t="n"/>
      <c r="AS20" s="44" t="n"/>
      <c r="AT20" s="44" t="n"/>
      <c r="AU20" s="53" t="n"/>
    </row>
    <row r="21">
      <c r="A21" s="40" t="n"/>
      <c r="B21" s="50">
        <f>IF($A21="","",IFERROR(IF(INDEX('대상자_VO2max'!$B$4:$B$33,MATCH($A21,'대상자_VO2max'!$A$4:$A$33,0))="","",INDEX('대상자_VO2max'!$B$4:$B$33,MATCH($A21,'대상자_VO2max'!$A$4:$A$33,0))),"ID없음"))</f>
        <v/>
      </c>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c r="AA21" s="41" t="n"/>
      <c r="AB21" s="41" t="n"/>
      <c r="AC21" s="41" t="n"/>
      <c r="AD21" s="41" t="n"/>
      <c r="AE21" s="41" t="n"/>
      <c r="AF21" s="41" t="n"/>
      <c r="AG21" s="41" t="n"/>
      <c r="AH21" s="41" t="n"/>
      <c r="AI21" s="41" t="n"/>
      <c r="AJ21" s="41" t="n"/>
      <c r="AK21" s="41" t="n"/>
      <c r="AL21" s="41" t="n"/>
      <c r="AM21" s="50">
        <f>IF(COUNT(C21:AL21)=0,"",SUMPRODUCT((C21:AL21=1)*(($C$35:$AL$35=1)+($C$35:$AL$35=""))))</f>
        <v/>
      </c>
      <c r="AN21" s="50">
        <f>IF(COUNT(C21:AL21)=0,"",COUNT(C21:AL21))</f>
        <v/>
      </c>
      <c r="AO21" s="48">
        <f>IF(COUNT(C21:AL21)=0,"",IF((36-COUNTIF($C$35:$AL$35,0))=0,"",SUMPRODUCT((C21:AL21=1)*(($C$35:$AL$35=1)+($C$35:$AL$35="")))/(36-COUNTIF($C$35:$AL$35,0))))</f>
        <v/>
      </c>
      <c r="AP21" s="44" t="n"/>
      <c r="AQ21" s="41" t="n"/>
      <c r="AR21" s="44" t="n"/>
      <c r="AS21" s="44" t="n"/>
      <c r="AT21" s="44" t="n"/>
      <c r="AU21" s="53" t="n"/>
    </row>
    <row r="22">
      <c r="A22" s="40" t="n"/>
      <c r="B22" s="50">
        <f>IF($A22="","",IFERROR(IF(INDEX('대상자_VO2max'!$B$4:$B$33,MATCH($A22,'대상자_VO2max'!$A$4:$A$33,0))="","",INDEX('대상자_VO2max'!$B$4:$B$33,MATCH($A22,'대상자_VO2max'!$A$4:$A$33,0))),"ID없음"))</f>
        <v/>
      </c>
      <c r="C22" s="41" t="n"/>
      <c r="D22" s="41" t="n"/>
      <c r="E22" s="41" t="n"/>
      <c r="F22" s="41" t="n"/>
      <c r="G22" s="41" t="n"/>
      <c r="H22" s="41" t="n"/>
      <c r="I22" s="41" t="n"/>
      <c r="J22" s="41" t="n"/>
      <c r="K22" s="41" t="n"/>
      <c r="L22" s="41" t="n"/>
      <c r="M22" s="41" t="n"/>
      <c r="N22" s="41" t="n"/>
      <c r="O22" s="41" t="n"/>
      <c r="P22" s="41" t="n"/>
      <c r="Q22" s="41" t="n"/>
      <c r="R22" s="41" t="n"/>
      <c r="S22" s="41" t="n"/>
      <c r="T22" s="41" t="n"/>
      <c r="U22" s="41" t="n"/>
      <c r="V22" s="41" t="n"/>
      <c r="W22" s="41" t="n"/>
      <c r="X22" s="41" t="n"/>
      <c r="Y22" s="41" t="n"/>
      <c r="Z22" s="41" t="n"/>
      <c r="AA22" s="41" t="n"/>
      <c r="AB22" s="41" t="n"/>
      <c r="AC22" s="41" t="n"/>
      <c r="AD22" s="41" t="n"/>
      <c r="AE22" s="41" t="n"/>
      <c r="AF22" s="41" t="n"/>
      <c r="AG22" s="41" t="n"/>
      <c r="AH22" s="41" t="n"/>
      <c r="AI22" s="41" t="n"/>
      <c r="AJ22" s="41" t="n"/>
      <c r="AK22" s="41" t="n"/>
      <c r="AL22" s="41" t="n"/>
      <c r="AM22" s="50">
        <f>IF(COUNT(C22:AL22)=0,"",SUMPRODUCT((C22:AL22=1)*(($C$35:$AL$35=1)+($C$35:$AL$35=""))))</f>
        <v/>
      </c>
      <c r="AN22" s="50">
        <f>IF(COUNT(C22:AL22)=0,"",COUNT(C22:AL22))</f>
        <v/>
      </c>
      <c r="AO22" s="48">
        <f>IF(COUNT(C22:AL22)=0,"",IF((36-COUNTIF($C$35:$AL$35,0))=0,"",SUMPRODUCT((C22:AL22=1)*(($C$35:$AL$35=1)+($C$35:$AL$35="")))/(36-COUNTIF($C$35:$AL$35,0))))</f>
        <v/>
      </c>
      <c r="AP22" s="44" t="n"/>
      <c r="AQ22" s="41" t="n"/>
      <c r="AR22" s="44" t="n"/>
      <c r="AS22" s="44" t="n"/>
      <c r="AT22" s="44" t="n"/>
      <c r="AU22" s="53" t="n"/>
    </row>
    <row r="23">
      <c r="A23" s="40" t="n"/>
      <c r="B23" s="50">
        <f>IF($A23="","",IFERROR(IF(INDEX('대상자_VO2max'!$B$4:$B$33,MATCH($A23,'대상자_VO2max'!$A$4:$A$33,0))="","",INDEX('대상자_VO2max'!$B$4:$B$33,MATCH($A23,'대상자_VO2max'!$A$4:$A$33,0))),"ID없음"))</f>
        <v/>
      </c>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c r="AA23" s="41" t="n"/>
      <c r="AB23" s="41" t="n"/>
      <c r="AC23" s="41" t="n"/>
      <c r="AD23" s="41" t="n"/>
      <c r="AE23" s="41" t="n"/>
      <c r="AF23" s="41" t="n"/>
      <c r="AG23" s="41" t="n"/>
      <c r="AH23" s="41" t="n"/>
      <c r="AI23" s="41" t="n"/>
      <c r="AJ23" s="41" t="n"/>
      <c r="AK23" s="41" t="n"/>
      <c r="AL23" s="41" t="n"/>
      <c r="AM23" s="50">
        <f>IF(COUNT(C23:AL23)=0,"",SUMPRODUCT((C23:AL23=1)*(($C$35:$AL$35=1)+($C$35:$AL$35=""))))</f>
        <v/>
      </c>
      <c r="AN23" s="50">
        <f>IF(COUNT(C23:AL23)=0,"",COUNT(C23:AL23))</f>
        <v/>
      </c>
      <c r="AO23" s="48">
        <f>IF(COUNT(C23:AL23)=0,"",IF((36-COUNTIF($C$35:$AL$35,0))=0,"",SUMPRODUCT((C23:AL23=1)*(($C$35:$AL$35=1)+($C$35:$AL$35="")))/(36-COUNTIF($C$35:$AL$35,0))))</f>
        <v/>
      </c>
      <c r="AP23" s="44" t="n"/>
      <c r="AQ23" s="41" t="n"/>
      <c r="AR23" s="44" t="n"/>
      <c r="AS23" s="44" t="n"/>
      <c r="AT23" s="44" t="n"/>
      <c r="AU23" s="53" t="n"/>
    </row>
    <row r="24">
      <c r="A24" s="40" t="n"/>
      <c r="B24" s="50">
        <f>IF($A24="","",IFERROR(IF(INDEX('대상자_VO2max'!$B$4:$B$33,MATCH($A24,'대상자_VO2max'!$A$4:$A$33,0))="","",INDEX('대상자_VO2max'!$B$4:$B$33,MATCH($A24,'대상자_VO2max'!$A$4:$A$33,0))),"ID없음"))</f>
        <v/>
      </c>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1" t="n"/>
      <c r="Y24" s="41" t="n"/>
      <c r="Z24" s="41" t="n"/>
      <c r="AA24" s="41" t="n"/>
      <c r="AB24" s="41" t="n"/>
      <c r="AC24" s="41" t="n"/>
      <c r="AD24" s="41" t="n"/>
      <c r="AE24" s="41" t="n"/>
      <c r="AF24" s="41" t="n"/>
      <c r="AG24" s="41" t="n"/>
      <c r="AH24" s="41" t="n"/>
      <c r="AI24" s="41" t="n"/>
      <c r="AJ24" s="41" t="n"/>
      <c r="AK24" s="41" t="n"/>
      <c r="AL24" s="41" t="n"/>
      <c r="AM24" s="50">
        <f>IF(COUNT(C24:AL24)=0,"",SUMPRODUCT((C24:AL24=1)*(($C$35:$AL$35=1)+($C$35:$AL$35=""))))</f>
        <v/>
      </c>
      <c r="AN24" s="50">
        <f>IF(COUNT(C24:AL24)=0,"",COUNT(C24:AL24))</f>
        <v/>
      </c>
      <c r="AO24" s="48">
        <f>IF(COUNT(C24:AL24)=0,"",IF((36-COUNTIF($C$35:$AL$35,0))=0,"",SUMPRODUCT((C24:AL24=1)*(($C$35:$AL$35=1)+($C$35:$AL$35="")))/(36-COUNTIF($C$35:$AL$35,0))))</f>
        <v/>
      </c>
      <c r="AP24" s="44" t="n"/>
      <c r="AQ24" s="41" t="n"/>
      <c r="AR24" s="44" t="n"/>
      <c r="AS24" s="44" t="n"/>
      <c r="AT24" s="44" t="n"/>
      <c r="AU24" s="53" t="n"/>
    </row>
    <row r="25">
      <c r="A25" s="40" t="n"/>
      <c r="B25" s="50">
        <f>IF($A25="","",IFERROR(IF(INDEX('대상자_VO2max'!$B$4:$B$33,MATCH($A25,'대상자_VO2max'!$A$4:$A$33,0))="","",INDEX('대상자_VO2max'!$B$4:$B$33,MATCH($A25,'대상자_VO2max'!$A$4:$A$33,0))),"ID없음"))</f>
        <v/>
      </c>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c r="AA25" s="41" t="n"/>
      <c r="AB25" s="41" t="n"/>
      <c r="AC25" s="41" t="n"/>
      <c r="AD25" s="41" t="n"/>
      <c r="AE25" s="41" t="n"/>
      <c r="AF25" s="41" t="n"/>
      <c r="AG25" s="41" t="n"/>
      <c r="AH25" s="41" t="n"/>
      <c r="AI25" s="41" t="n"/>
      <c r="AJ25" s="41" t="n"/>
      <c r="AK25" s="41" t="n"/>
      <c r="AL25" s="41" t="n"/>
      <c r="AM25" s="50">
        <f>IF(COUNT(C25:AL25)=0,"",SUMPRODUCT((C25:AL25=1)*(($C$35:$AL$35=1)+($C$35:$AL$35=""))))</f>
        <v/>
      </c>
      <c r="AN25" s="50">
        <f>IF(COUNT(C25:AL25)=0,"",COUNT(C25:AL25))</f>
        <v/>
      </c>
      <c r="AO25" s="48">
        <f>IF(COUNT(C25:AL25)=0,"",IF((36-COUNTIF($C$35:$AL$35,0))=0,"",SUMPRODUCT((C25:AL25=1)*(($C$35:$AL$35=1)+($C$35:$AL$35="")))/(36-COUNTIF($C$35:$AL$35,0))))</f>
        <v/>
      </c>
      <c r="AP25" s="44" t="n"/>
      <c r="AQ25" s="41" t="n"/>
      <c r="AR25" s="44" t="n"/>
      <c r="AS25" s="44" t="n"/>
      <c r="AT25" s="44" t="n"/>
      <c r="AU25" s="53" t="n"/>
    </row>
    <row r="26">
      <c r="A26" s="40" t="n"/>
      <c r="B26" s="50">
        <f>IF($A26="","",IFERROR(IF(INDEX('대상자_VO2max'!$B$4:$B$33,MATCH($A26,'대상자_VO2max'!$A$4:$A$33,0))="","",INDEX('대상자_VO2max'!$B$4:$B$33,MATCH($A26,'대상자_VO2max'!$A$4:$A$33,0))),"ID없음"))</f>
        <v/>
      </c>
      <c r="C26" s="41" t="n"/>
      <c r="D26" s="41" t="n"/>
      <c r="E26" s="41" t="n"/>
      <c r="F26" s="41" t="n"/>
      <c r="G26" s="41" t="n"/>
      <c r="H26" s="41" t="n"/>
      <c r="I26" s="41" t="n"/>
      <c r="J26" s="41" t="n"/>
      <c r="K26" s="41" t="n"/>
      <c r="L26" s="41" t="n"/>
      <c r="M26" s="41" t="n"/>
      <c r="N26" s="41" t="n"/>
      <c r="O26" s="41" t="n"/>
      <c r="P26" s="41" t="n"/>
      <c r="Q26" s="41" t="n"/>
      <c r="R26" s="41" t="n"/>
      <c r="S26" s="41" t="n"/>
      <c r="T26" s="41" t="n"/>
      <c r="U26" s="41" t="n"/>
      <c r="V26" s="41" t="n"/>
      <c r="W26" s="41" t="n"/>
      <c r="X26" s="41" t="n"/>
      <c r="Y26" s="41" t="n"/>
      <c r="Z26" s="41" t="n"/>
      <c r="AA26" s="41" t="n"/>
      <c r="AB26" s="41" t="n"/>
      <c r="AC26" s="41" t="n"/>
      <c r="AD26" s="41" t="n"/>
      <c r="AE26" s="41" t="n"/>
      <c r="AF26" s="41" t="n"/>
      <c r="AG26" s="41" t="n"/>
      <c r="AH26" s="41" t="n"/>
      <c r="AI26" s="41" t="n"/>
      <c r="AJ26" s="41" t="n"/>
      <c r="AK26" s="41" t="n"/>
      <c r="AL26" s="41" t="n"/>
      <c r="AM26" s="50">
        <f>IF(COUNT(C26:AL26)=0,"",SUMPRODUCT((C26:AL26=1)*(($C$35:$AL$35=1)+($C$35:$AL$35=""))))</f>
        <v/>
      </c>
      <c r="AN26" s="50">
        <f>IF(COUNT(C26:AL26)=0,"",COUNT(C26:AL26))</f>
        <v/>
      </c>
      <c r="AO26" s="48">
        <f>IF(COUNT(C26:AL26)=0,"",IF((36-COUNTIF($C$35:$AL$35,0))=0,"",SUMPRODUCT((C26:AL26=1)*(($C$35:$AL$35=1)+($C$35:$AL$35="")))/(36-COUNTIF($C$35:$AL$35,0))))</f>
        <v/>
      </c>
      <c r="AP26" s="44" t="n"/>
      <c r="AQ26" s="41" t="n"/>
      <c r="AR26" s="44" t="n"/>
      <c r="AS26" s="44" t="n"/>
      <c r="AT26" s="44" t="n"/>
      <c r="AU26" s="53" t="n"/>
    </row>
    <row r="27">
      <c r="A27" s="40" t="n"/>
      <c r="B27" s="50">
        <f>IF($A27="","",IFERROR(IF(INDEX('대상자_VO2max'!$B$4:$B$33,MATCH($A27,'대상자_VO2max'!$A$4:$A$33,0))="","",INDEX('대상자_VO2max'!$B$4:$B$33,MATCH($A27,'대상자_VO2max'!$A$4:$A$33,0))),"ID없음"))</f>
        <v/>
      </c>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c r="AA27" s="41" t="n"/>
      <c r="AB27" s="41" t="n"/>
      <c r="AC27" s="41" t="n"/>
      <c r="AD27" s="41" t="n"/>
      <c r="AE27" s="41" t="n"/>
      <c r="AF27" s="41" t="n"/>
      <c r="AG27" s="41" t="n"/>
      <c r="AH27" s="41" t="n"/>
      <c r="AI27" s="41" t="n"/>
      <c r="AJ27" s="41" t="n"/>
      <c r="AK27" s="41" t="n"/>
      <c r="AL27" s="41" t="n"/>
      <c r="AM27" s="50">
        <f>IF(COUNT(C27:AL27)=0,"",SUMPRODUCT((C27:AL27=1)*(($C$35:$AL$35=1)+($C$35:$AL$35=""))))</f>
        <v/>
      </c>
      <c r="AN27" s="50">
        <f>IF(COUNT(C27:AL27)=0,"",COUNT(C27:AL27))</f>
        <v/>
      </c>
      <c r="AO27" s="48">
        <f>IF(COUNT(C27:AL27)=0,"",IF((36-COUNTIF($C$35:$AL$35,0))=0,"",SUMPRODUCT((C27:AL27=1)*(($C$35:$AL$35=1)+($C$35:$AL$35="")))/(36-COUNTIF($C$35:$AL$35,0))))</f>
        <v/>
      </c>
      <c r="AP27" s="44" t="n"/>
      <c r="AQ27" s="41" t="n"/>
      <c r="AR27" s="44" t="n"/>
      <c r="AS27" s="44" t="n"/>
      <c r="AT27" s="44" t="n"/>
      <c r="AU27" s="53" t="n"/>
    </row>
    <row r="28">
      <c r="A28" s="40" t="n"/>
      <c r="B28" s="50">
        <f>IF($A28="","",IFERROR(IF(INDEX('대상자_VO2max'!$B$4:$B$33,MATCH($A28,'대상자_VO2max'!$A$4:$A$33,0))="","",INDEX('대상자_VO2max'!$B$4:$B$33,MATCH($A28,'대상자_VO2max'!$A$4:$A$33,0))),"ID없음"))</f>
        <v/>
      </c>
      <c r="C28" s="41" t="n"/>
      <c r="D28" s="41" t="n"/>
      <c r="E28" s="41" t="n"/>
      <c r="F28" s="41" t="n"/>
      <c r="G28" s="41" t="n"/>
      <c r="H28" s="41" t="n"/>
      <c r="I28" s="41" t="n"/>
      <c r="J28" s="41" t="n"/>
      <c r="K28" s="41" t="n"/>
      <c r="L28" s="41" t="n"/>
      <c r="M28" s="41" t="n"/>
      <c r="N28" s="41" t="n"/>
      <c r="O28" s="41" t="n"/>
      <c r="P28" s="41" t="n"/>
      <c r="Q28" s="41" t="n"/>
      <c r="R28" s="41" t="n"/>
      <c r="S28" s="41" t="n"/>
      <c r="T28" s="41" t="n"/>
      <c r="U28" s="41" t="n"/>
      <c r="V28" s="41" t="n"/>
      <c r="W28" s="41" t="n"/>
      <c r="X28" s="41" t="n"/>
      <c r="Y28" s="41" t="n"/>
      <c r="Z28" s="41" t="n"/>
      <c r="AA28" s="41" t="n"/>
      <c r="AB28" s="41" t="n"/>
      <c r="AC28" s="41" t="n"/>
      <c r="AD28" s="41" t="n"/>
      <c r="AE28" s="41" t="n"/>
      <c r="AF28" s="41" t="n"/>
      <c r="AG28" s="41" t="n"/>
      <c r="AH28" s="41" t="n"/>
      <c r="AI28" s="41" t="n"/>
      <c r="AJ28" s="41" t="n"/>
      <c r="AK28" s="41" t="n"/>
      <c r="AL28" s="41" t="n"/>
      <c r="AM28" s="50">
        <f>IF(COUNT(C28:AL28)=0,"",SUMPRODUCT((C28:AL28=1)*(($C$35:$AL$35=1)+($C$35:$AL$35=""))))</f>
        <v/>
      </c>
      <c r="AN28" s="50">
        <f>IF(COUNT(C28:AL28)=0,"",COUNT(C28:AL28))</f>
        <v/>
      </c>
      <c r="AO28" s="48">
        <f>IF(COUNT(C28:AL28)=0,"",IF((36-COUNTIF($C$35:$AL$35,0))=0,"",SUMPRODUCT((C28:AL28=1)*(($C$35:$AL$35=1)+($C$35:$AL$35="")))/(36-COUNTIF($C$35:$AL$35,0))))</f>
        <v/>
      </c>
      <c r="AP28" s="44" t="n"/>
      <c r="AQ28" s="41" t="n"/>
      <c r="AR28" s="44" t="n"/>
      <c r="AS28" s="44" t="n"/>
      <c r="AT28" s="44" t="n"/>
      <c r="AU28" s="53" t="n"/>
    </row>
    <row r="29">
      <c r="A29" s="40" t="n"/>
      <c r="B29" s="50">
        <f>IF($A29="","",IFERROR(IF(INDEX('대상자_VO2max'!$B$4:$B$33,MATCH($A29,'대상자_VO2max'!$A$4:$A$33,0))="","",INDEX('대상자_VO2max'!$B$4:$B$33,MATCH($A29,'대상자_VO2max'!$A$4:$A$33,0))),"ID없음"))</f>
        <v/>
      </c>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c r="AE29" s="41" t="n"/>
      <c r="AF29" s="41" t="n"/>
      <c r="AG29" s="41" t="n"/>
      <c r="AH29" s="41" t="n"/>
      <c r="AI29" s="41" t="n"/>
      <c r="AJ29" s="41" t="n"/>
      <c r="AK29" s="41" t="n"/>
      <c r="AL29" s="41" t="n"/>
      <c r="AM29" s="50">
        <f>IF(COUNT(C29:AL29)=0,"",SUMPRODUCT((C29:AL29=1)*(($C$35:$AL$35=1)+($C$35:$AL$35=""))))</f>
        <v/>
      </c>
      <c r="AN29" s="50">
        <f>IF(COUNT(C29:AL29)=0,"",COUNT(C29:AL29))</f>
        <v/>
      </c>
      <c r="AO29" s="48">
        <f>IF(COUNT(C29:AL29)=0,"",IF((36-COUNTIF($C$35:$AL$35,0))=0,"",SUMPRODUCT((C29:AL29=1)*(($C$35:$AL$35=1)+($C$35:$AL$35="")))/(36-COUNTIF($C$35:$AL$35,0))))</f>
        <v/>
      </c>
      <c r="AP29" s="44" t="n"/>
      <c r="AQ29" s="41" t="n"/>
      <c r="AR29" s="44" t="n"/>
      <c r="AS29" s="44" t="n"/>
      <c r="AT29" s="44" t="n"/>
      <c r="AU29" s="53" t="n"/>
    </row>
    <row r="30">
      <c r="A30" s="40" t="n"/>
      <c r="B30" s="50">
        <f>IF($A30="","",IFERROR(IF(INDEX('대상자_VO2max'!$B$4:$B$33,MATCH($A30,'대상자_VO2max'!$A$4:$A$33,0))="","",INDEX('대상자_VO2max'!$B$4:$B$33,MATCH($A30,'대상자_VO2max'!$A$4:$A$33,0))),"ID없음"))</f>
        <v/>
      </c>
      <c r="C30" s="41" t="n"/>
      <c r="D30" s="41" t="n"/>
      <c r="E30" s="41" t="n"/>
      <c r="F30" s="41" t="n"/>
      <c r="G30" s="41" t="n"/>
      <c r="H30" s="41" t="n"/>
      <c r="I30" s="41" t="n"/>
      <c r="J30" s="41" t="n"/>
      <c r="K30" s="41" t="n"/>
      <c r="L30" s="41" t="n"/>
      <c r="M30" s="41" t="n"/>
      <c r="N30" s="41" t="n"/>
      <c r="O30" s="41" t="n"/>
      <c r="P30" s="41" t="n"/>
      <c r="Q30" s="41" t="n"/>
      <c r="R30" s="41" t="n"/>
      <c r="S30" s="41" t="n"/>
      <c r="T30" s="41" t="n"/>
      <c r="U30" s="41" t="n"/>
      <c r="V30" s="41" t="n"/>
      <c r="W30" s="41" t="n"/>
      <c r="X30" s="41" t="n"/>
      <c r="Y30" s="41" t="n"/>
      <c r="Z30" s="41" t="n"/>
      <c r="AA30" s="41" t="n"/>
      <c r="AB30" s="41" t="n"/>
      <c r="AC30" s="41" t="n"/>
      <c r="AD30" s="41" t="n"/>
      <c r="AE30" s="41" t="n"/>
      <c r="AF30" s="41" t="n"/>
      <c r="AG30" s="41" t="n"/>
      <c r="AH30" s="41" t="n"/>
      <c r="AI30" s="41" t="n"/>
      <c r="AJ30" s="41" t="n"/>
      <c r="AK30" s="41" t="n"/>
      <c r="AL30" s="41" t="n"/>
      <c r="AM30" s="50">
        <f>IF(COUNT(C30:AL30)=0,"",SUMPRODUCT((C30:AL30=1)*(($C$35:$AL$35=1)+($C$35:$AL$35=""))))</f>
        <v/>
      </c>
      <c r="AN30" s="50">
        <f>IF(COUNT(C30:AL30)=0,"",COUNT(C30:AL30))</f>
        <v/>
      </c>
      <c r="AO30" s="48">
        <f>IF(COUNT(C30:AL30)=0,"",IF((36-COUNTIF($C$35:$AL$35,0))=0,"",SUMPRODUCT((C30:AL30=1)*(($C$35:$AL$35=1)+($C$35:$AL$35="")))/(36-COUNTIF($C$35:$AL$35,0))))</f>
        <v/>
      </c>
      <c r="AP30" s="44" t="n"/>
      <c r="AQ30" s="41" t="n"/>
      <c r="AR30" s="44" t="n"/>
      <c r="AS30" s="44" t="n"/>
      <c r="AT30" s="44" t="n"/>
      <c r="AU30" s="53" t="n"/>
    </row>
    <row r="31">
      <c r="A31" s="40" t="n"/>
      <c r="B31" s="50">
        <f>IF($A31="","",IFERROR(IF(INDEX('대상자_VO2max'!$B$4:$B$33,MATCH($A31,'대상자_VO2max'!$A$4:$A$33,0))="","",INDEX('대상자_VO2max'!$B$4:$B$33,MATCH($A31,'대상자_VO2max'!$A$4:$A$33,0))),"ID없음"))</f>
        <v/>
      </c>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c r="AE31" s="41" t="n"/>
      <c r="AF31" s="41" t="n"/>
      <c r="AG31" s="41" t="n"/>
      <c r="AH31" s="41" t="n"/>
      <c r="AI31" s="41" t="n"/>
      <c r="AJ31" s="41" t="n"/>
      <c r="AK31" s="41" t="n"/>
      <c r="AL31" s="41" t="n"/>
      <c r="AM31" s="50">
        <f>IF(COUNT(C31:AL31)=0,"",SUMPRODUCT((C31:AL31=1)*(($C$35:$AL$35=1)+($C$35:$AL$35=""))))</f>
        <v/>
      </c>
      <c r="AN31" s="50">
        <f>IF(COUNT(C31:AL31)=0,"",COUNT(C31:AL31))</f>
        <v/>
      </c>
      <c r="AO31" s="48">
        <f>IF(COUNT(C31:AL31)=0,"",IF((36-COUNTIF($C$35:$AL$35,0))=0,"",SUMPRODUCT((C31:AL31=1)*(($C$35:$AL$35=1)+($C$35:$AL$35="")))/(36-COUNTIF($C$35:$AL$35,0))))</f>
        <v/>
      </c>
      <c r="AP31" s="44" t="n"/>
      <c r="AQ31" s="41" t="n"/>
      <c r="AR31" s="44" t="n"/>
      <c r="AS31" s="44" t="n"/>
      <c r="AT31" s="44" t="n"/>
      <c r="AU31" s="53" t="n"/>
    </row>
    <row r="32">
      <c r="A32" s="40" t="n"/>
      <c r="B32" s="50">
        <f>IF($A32="","",IFERROR(IF(INDEX('대상자_VO2max'!$B$4:$B$33,MATCH($A32,'대상자_VO2max'!$A$4:$A$33,0))="","",INDEX('대상자_VO2max'!$B$4:$B$33,MATCH($A32,'대상자_VO2max'!$A$4:$A$33,0))),"ID없음"))</f>
        <v/>
      </c>
      <c r="C32" s="41" t="n"/>
      <c r="D32" s="41" t="n"/>
      <c r="E32" s="41" t="n"/>
      <c r="F32" s="41" t="n"/>
      <c r="G32" s="41" t="n"/>
      <c r="H32" s="41" t="n"/>
      <c r="I32" s="41" t="n"/>
      <c r="J32" s="41" t="n"/>
      <c r="K32" s="41" t="n"/>
      <c r="L32" s="41" t="n"/>
      <c r="M32" s="41" t="n"/>
      <c r="N32" s="41" t="n"/>
      <c r="O32" s="41" t="n"/>
      <c r="P32" s="41" t="n"/>
      <c r="Q32" s="41" t="n"/>
      <c r="R32" s="41" t="n"/>
      <c r="S32" s="41" t="n"/>
      <c r="T32" s="41" t="n"/>
      <c r="U32" s="41" t="n"/>
      <c r="V32" s="41" t="n"/>
      <c r="W32" s="41" t="n"/>
      <c r="X32" s="41" t="n"/>
      <c r="Y32" s="41" t="n"/>
      <c r="Z32" s="41" t="n"/>
      <c r="AA32" s="41" t="n"/>
      <c r="AB32" s="41" t="n"/>
      <c r="AC32" s="41" t="n"/>
      <c r="AD32" s="41" t="n"/>
      <c r="AE32" s="41" t="n"/>
      <c r="AF32" s="41" t="n"/>
      <c r="AG32" s="41" t="n"/>
      <c r="AH32" s="41" t="n"/>
      <c r="AI32" s="41" t="n"/>
      <c r="AJ32" s="41" t="n"/>
      <c r="AK32" s="41" t="n"/>
      <c r="AL32" s="41" t="n"/>
      <c r="AM32" s="50">
        <f>IF(COUNT(C32:AL32)=0,"",SUMPRODUCT((C32:AL32=1)*(($C$35:$AL$35=1)+($C$35:$AL$35=""))))</f>
        <v/>
      </c>
      <c r="AN32" s="50">
        <f>IF(COUNT(C32:AL32)=0,"",COUNT(C32:AL32))</f>
        <v/>
      </c>
      <c r="AO32" s="48">
        <f>IF(COUNT(C32:AL32)=0,"",IF((36-COUNTIF($C$35:$AL$35,0))=0,"",SUMPRODUCT((C32:AL32=1)*(($C$35:$AL$35=1)+($C$35:$AL$35="")))/(36-COUNTIF($C$35:$AL$35,0))))</f>
        <v/>
      </c>
      <c r="AP32" s="44" t="n"/>
      <c r="AQ32" s="41" t="n"/>
      <c r="AR32" s="44" t="n"/>
      <c r="AS32" s="44" t="n"/>
      <c r="AT32" s="44" t="n"/>
      <c r="AU32" s="53" t="n"/>
    </row>
    <row r="33">
      <c r="A33" s="40" t="n"/>
      <c r="B33" s="50">
        <f>IF($A33="","",IFERROR(IF(INDEX('대상자_VO2max'!$B$4:$B$33,MATCH($A33,'대상자_VO2max'!$A$4:$A$33,0))="","",INDEX('대상자_VO2max'!$B$4:$B$33,MATCH($A33,'대상자_VO2max'!$A$4:$A$33,0))),"ID없음"))</f>
        <v/>
      </c>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c r="AE33" s="41" t="n"/>
      <c r="AF33" s="41" t="n"/>
      <c r="AG33" s="41" t="n"/>
      <c r="AH33" s="41" t="n"/>
      <c r="AI33" s="41" t="n"/>
      <c r="AJ33" s="41" t="n"/>
      <c r="AK33" s="41" t="n"/>
      <c r="AL33" s="41" t="n"/>
      <c r="AM33" s="50">
        <f>IF(COUNT(C33:AL33)=0,"",SUMPRODUCT((C33:AL33=1)*(($C$35:$AL$35=1)+($C$35:$AL$35=""))))</f>
        <v/>
      </c>
      <c r="AN33" s="50">
        <f>IF(COUNT(C33:AL33)=0,"",COUNT(C33:AL33))</f>
        <v/>
      </c>
      <c r="AO33" s="48">
        <f>IF(COUNT(C33:AL33)=0,"",IF((36-COUNTIF($C$35:$AL$35,0))=0,"",SUMPRODUCT((C33:AL33=1)*(($C$35:$AL$35=1)+($C$35:$AL$35="")))/(36-COUNTIF($C$35:$AL$35,0))))</f>
        <v/>
      </c>
      <c r="AP33" s="44" t="n"/>
      <c r="AQ33" s="41" t="n"/>
      <c r="AR33" s="44" t="n"/>
      <c r="AS33" s="44" t="n"/>
      <c r="AT33" s="44" t="n"/>
      <c r="AU33" s="53" t="n"/>
    </row>
    <row r="35" ht="42" customHeight="1">
      <c r="A35" s="54" t="inlineStr">
        <is>
          <t>전체 취소된 회기에만 0 (빈칸·1 = 실시)</t>
        </is>
      </c>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c r="AE35" s="41" t="n"/>
      <c r="AF35" s="41" t="n"/>
      <c r="AG35" s="41" t="n"/>
      <c r="AH35" s="41" t="n"/>
      <c r="AI35" s="41" t="n"/>
      <c r="AJ35" s="41" t="n"/>
      <c r="AK35" s="41" t="n"/>
      <c r="AL35" s="41" t="n"/>
    </row>
    <row r="36" ht="42" customHeight="1">
      <c r="A36" s="54" t="inlineStr">
        <is>
          <t>그 회기 실제 본운동 시간 (분)</t>
        </is>
      </c>
      <c r="C36" s="41" t="n"/>
      <c r="D36" s="41" t="n"/>
      <c r="E36" s="41" t="n"/>
      <c r="F36" s="41" t="n"/>
      <c r="G36" s="41" t="n"/>
      <c r="H36" s="41" t="n"/>
      <c r="I36" s="41" t="n"/>
      <c r="J36" s="41" t="n"/>
      <c r="K36" s="41" t="n"/>
      <c r="L36" s="41" t="n"/>
      <c r="M36" s="41" t="n"/>
      <c r="N36" s="41" t="n"/>
      <c r="O36" s="41" t="n"/>
      <c r="P36" s="41" t="n"/>
      <c r="Q36" s="41" t="n"/>
      <c r="R36" s="41" t="n"/>
      <c r="S36" s="41" t="n"/>
      <c r="T36" s="41" t="n"/>
      <c r="U36" s="41" t="n"/>
      <c r="V36" s="41" t="n"/>
      <c r="W36" s="41" t="n"/>
      <c r="X36" s="41" t="n"/>
      <c r="Y36" s="41" t="n"/>
      <c r="Z36" s="41" t="n"/>
      <c r="AA36" s="41" t="n"/>
      <c r="AB36" s="41" t="n"/>
      <c r="AC36" s="41" t="n"/>
      <c r="AD36" s="41" t="n"/>
      <c r="AE36" s="41" t="n"/>
      <c r="AF36" s="41" t="n"/>
      <c r="AG36" s="41" t="n"/>
      <c r="AH36" s="41" t="n"/>
      <c r="AI36" s="41" t="n"/>
      <c r="AJ36" s="41" t="n"/>
      <c r="AK36" s="41" t="n"/>
      <c r="AL36" s="41" t="n"/>
    </row>
    <row r="37">
      <c r="A37" s="2" t="inlineStr">
        <is>
          <t>실험군: 회기별 1=출석, 0=결석, 기록 없으면 빈칸. 출석률 = 출석 회기 ÷ 실제 실시 회기. 35행에는 전체 취소된 회기에만 0을 넣고 나머지는 비워 두면 실시로 계산합니다. 통제군은 회기 칸을 비우고 오른쪽 정규훈련 시간·강도만 적어도 됩니다. 실험군의 '정규훈련 시간'은 H-IFIT를 뺀 시간입니다.</t>
        </is>
      </c>
    </row>
  </sheetData>
  <mergeCells count="2">
    <mergeCell ref="A36:B36"/>
    <mergeCell ref="A35:B35"/>
  </mergeCells>
  <dataValidations count="2">
    <dataValidation sqref="C4:AL33" showDropDown="0" showInputMessage="0" showErrorMessage="1" allowBlank="1" errorTitle="출석" error="1(출석) 또는 0(결석). 기록이 없으면 빈칸(0을 쓰지 마세요)." type="list">
      <formula1>"1,0"</formula1>
    </dataValidation>
    <dataValidation sqref="C35:AL35" showDropDown="0" showInputMessage="0" showErrorMessage="1" allowBlank="1" errorTitle="회기 실시" error="1(실시) 또는 0(전체 취소)." type="list">
      <formula1>"1,0"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7" customWidth="1" min="3" max="3"/>
    <col width="9" customWidth="1" min="4" max="4"/>
    <col width="9" customWidth="1" min="5" max="5"/>
    <col width="7" customWidth="1" min="6" max="6"/>
    <col width="9" customWidth="1" min="7" max="7"/>
    <col width="9" customWidth="1" min="8" max="8"/>
    <col width="10" customWidth="1" min="9" max="9"/>
    <col width="11" customWidth="1" min="10" max="10"/>
    <col width="11" customWidth="1" min="11" max="11"/>
    <col width="9" customWidth="1" min="12" max="12"/>
    <col width="10" customWidth="1" min="13" max="13"/>
    <col width="8" customWidth="1" min="14" max="14"/>
    <col width="30" customWidth="1" min="15" max="15"/>
  </cols>
  <sheetData>
    <row r="1">
      <c r="A1" s="12" t="inlineStr">
        <is>
          <t>주차별 실제 운동 구성 (프로그램 재현성)</t>
        </is>
      </c>
    </row>
    <row r="2" ht="30" customHeight="1">
      <c r="A2" s="13" t="inlineStr">
        <is>
          <t>주차마다 실제로 한 구성을 적습니다(회기마다 달랐으면 대표 구성 + 비고). 본운동 총시간 추정 = 종목 수×세트×(운동+휴식) + (세트−1)×세트 간 휴식. 전환 시간은 빠져 있으니 연구정보 D9 답과 함께 봅니다.</t>
        </is>
      </c>
    </row>
    <row r="3">
      <c r="A3" s="23" t="inlineStr">
        <is>
          <t>week</t>
        </is>
      </c>
      <c r="B3" s="23" t="inlineStr">
        <is>
          <t>exercises</t>
        </is>
      </c>
      <c r="C3" s="23" t="inlineStr">
        <is>
          <t>n_ex</t>
        </is>
      </c>
      <c r="D3" s="23" t="inlineStr">
        <is>
          <t>work_s</t>
        </is>
      </c>
      <c r="E3" s="23" t="inlineStr">
        <is>
          <t>rest_s</t>
        </is>
      </c>
      <c r="F3" s="23" t="inlineStr">
        <is>
          <t>sets</t>
        </is>
      </c>
      <c r="G3" s="23" t="inlineStr">
        <is>
          <t>set_rest_s</t>
        </is>
      </c>
      <c r="H3" s="23" t="inlineStr">
        <is>
          <t>ratio</t>
        </is>
      </c>
      <c r="I3" s="23" t="inlineStr">
        <is>
          <t>work_min</t>
        </is>
      </c>
      <c r="J3" s="23" t="inlineStr">
        <is>
          <t>main_min</t>
        </is>
      </c>
      <c r="K3" s="23" t="inlineStr">
        <is>
          <t>diff40</t>
        </is>
      </c>
      <c r="L3" s="23" t="inlineStr">
        <is>
          <t>target_hr</t>
        </is>
      </c>
      <c r="M3" s="23" t="inlineStr">
        <is>
          <t>actual_hr</t>
        </is>
      </c>
      <c r="N3" s="23" t="inlineStr">
        <is>
          <t>target_rpe</t>
        </is>
      </c>
      <c r="O3" s="23" t="inlineStr">
        <is>
          <t>note</t>
        </is>
      </c>
    </row>
    <row r="4" ht="45" customHeight="1">
      <c r="A4" s="24" t="inlineStr">
        <is>
          <t>주차</t>
        </is>
      </c>
      <c r="B4" s="24" t="inlineStr">
        <is>
          <t>실제 실시한 운동 종목 (쉼표로 구분)</t>
        </is>
      </c>
      <c r="C4" s="24" t="inlineStr">
        <is>
          <t>종목 수</t>
        </is>
      </c>
      <c r="D4" s="24" t="inlineStr">
        <is>
          <t>종목당
운동(초)</t>
        </is>
      </c>
      <c r="E4" s="24" t="inlineStr">
        <is>
          <t>종목 간
휴식(초)</t>
        </is>
      </c>
      <c r="F4" s="24" t="inlineStr">
        <is>
          <t>세트 수</t>
        </is>
      </c>
      <c r="G4" s="24" t="inlineStr">
        <is>
          <t>세트 간
휴식(초)</t>
        </is>
      </c>
      <c r="H4" s="25" t="inlineStr">
        <is>
          <t>운동:휴식
(자동)</t>
        </is>
      </c>
      <c r="I4" s="25" t="inlineStr">
        <is>
          <t>순수 운동
시간(분, 자동)</t>
        </is>
      </c>
      <c r="J4" s="25" t="inlineStr">
        <is>
          <t>본운동 총시간
추정(분, 자동)</t>
        </is>
      </c>
      <c r="K4" s="25" t="inlineStr">
        <is>
          <t>원고 40분과의
차이(분, 자동)</t>
        </is>
      </c>
      <c r="L4" s="24" t="inlineStr">
        <is>
          <t>목표 강도
(%HRmax)</t>
        </is>
      </c>
      <c r="M4" s="24" t="inlineStr">
        <is>
          <t>실제 평균
심박(%HRmax)</t>
        </is>
      </c>
      <c r="N4" s="24" t="inlineStr">
        <is>
          <t>목표 RPE</t>
        </is>
      </c>
      <c r="O4" s="24" t="inlineStr">
        <is>
          <t>진행(점증) 기준·비고</t>
        </is>
      </c>
    </row>
    <row r="5">
      <c r="A5" s="55" t="inlineStr">
        <is>
          <t>예시</t>
        </is>
      </c>
      <c r="B5" s="56" t="inlineStr">
        <is>
          <t>스쿼트 점프, 점핑 런지, 버피, 플랭크, 셔틀런, 교대 돌려차기</t>
        </is>
      </c>
      <c r="C5" s="55" t="n">
        <v>6</v>
      </c>
      <c r="D5" s="55" t="n">
        <v>30</v>
      </c>
      <c r="E5" s="55" t="n">
        <v>30</v>
      </c>
      <c r="F5" s="55" t="n">
        <v>3</v>
      </c>
      <c r="G5" s="55" t="n">
        <v>120</v>
      </c>
      <c r="H5" s="57">
        <f>IF(AND(ISNUMBER(D5),ISNUMBER(E5)),IF(E5&gt;0,TEXT(D5/E5,"0.0#")&amp;" : 1",""),"")</f>
        <v/>
      </c>
      <c r="I5" s="58">
        <f>IF(COUNT(C5,D5,F5)=3,C5*F5*D5/60,"")</f>
        <v/>
      </c>
      <c r="J5" s="58">
        <f>IF(COUNT(C5,D5,E5,F5)=4,(C5*F5*(D5+E5)+MAX(F5-1,0)*IF(ISNUMBER(G5),G5,0))/60,"")</f>
        <v/>
      </c>
      <c r="K5" s="59">
        <f>IF(ISNUMBER(J5),J5-40,"")</f>
        <v/>
      </c>
      <c r="L5" s="60" t="inlineStr">
        <is>
          <t>85–90%</t>
        </is>
      </c>
      <c r="M5" s="61" t="n">
        <v>87.2</v>
      </c>
      <c r="N5" s="60" t="inlineStr">
        <is>
          <t>15–16</t>
        </is>
      </c>
      <c r="O5" s="56" t="inlineStr">
        <is>
          <t>적응기: 1:1</t>
        </is>
      </c>
    </row>
    <row r="6">
      <c r="A6" s="62" t="n">
        <v>1</v>
      </c>
      <c r="B6" s="63" t="n"/>
      <c r="C6" s="64" t="n"/>
      <c r="D6" s="64" t="n"/>
      <c r="E6" s="64" t="n"/>
      <c r="F6" s="64" t="n"/>
      <c r="G6" s="64" t="n"/>
      <c r="H6" s="65">
        <f>IF(AND(ISNUMBER(D6),ISNUMBER(E6)),IF(E6&gt;0,TEXT(D6/E6,"0.0#")&amp;" : 1",""),"")</f>
        <v/>
      </c>
      <c r="I6" s="66">
        <f>IF(COUNT(C6,D6,F6)=3,C6*F6*D6/60,"")</f>
        <v/>
      </c>
      <c r="J6" s="66">
        <f>IF(COUNT(C6,D6,E6,F6)=4,(C6*F6*(D6+E6)+MAX(F6-1,0)*IF(ISNUMBER(G6),G6,0))/60,"")</f>
        <v/>
      </c>
      <c r="K6" s="67">
        <f>IF(ISNUMBER(J6),J6-40,"")</f>
        <v/>
      </c>
      <c r="L6" s="68" t="n"/>
      <c r="M6" s="69" t="n"/>
      <c r="N6" s="68" t="n"/>
      <c r="O6" s="63" t="n"/>
    </row>
    <row r="7">
      <c r="A7" s="62" t="n">
        <v>2</v>
      </c>
      <c r="B7" s="63" t="n"/>
      <c r="C7" s="64" t="n"/>
      <c r="D7" s="64" t="n"/>
      <c r="E7" s="64" t="n"/>
      <c r="F7" s="64" t="n"/>
      <c r="G7" s="64" t="n"/>
      <c r="H7" s="65">
        <f>IF(AND(ISNUMBER(D7),ISNUMBER(E7)),IF(E7&gt;0,TEXT(D7/E7,"0.0#")&amp;" : 1",""),"")</f>
        <v/>
      </c>
      <c r="I7" s="66">
        <f>IF(COUNT(C7,D7,F7)=3,C7*F7*D7/60,"")</f>
        <v/>
      </c>
      <c r="J7" s="66">
        <f>IF(COUNT(C7,D7,E7,F7)=4,(C7*F7*(D7+E7)+MAX(F7-1,0)*IF(ISNUMBER(G7),G7,0))/60,"")</f>
        <v/>
      </c>
      <c r="K7" s="67">
        <f>IF(ISNUMBER(J7),J7-40,"")</f>
        <v/>
      </c>
      <c r="L7" s="68" t="n"/>
      <c r="M7" s="69" t="n"/>
      <c r="N7" s="68" t="n"/>
      <c r="O7" s="63" t="n"/>
    </row>
    <row r="8">
      <c r="A8" s="62" t="n">
        <v>3</v>
      </c>
      <c r="B8" s="63" t="n"/>
      <c r="C8" s="64" t="n"/>
      <c r="D8" s="64" t="n"/>
      <c r="E8" s="64" t="n"/>
      <c r="F8" s="64" t="n"/>
      <c r="G8" s="64" t="n"/>
      <c r="H8" s="65">
        <f>IF(AND(ISNUMBER(D8),ISNUMBER(E8)),IF(E8&gt;0,TEXT(D8/E8,"0.0#")&amp;" : 1",""),"")</f>
        <v/>
      </c>
      <c r="I8" s="66">
        <f>IF(COUNT(C8,D8,F8)=3,C8*F8*D8/60,"")</f>
        <v/>
      </c>
      <c r="J8" s="66">
        <f>IF(COUNT(C8,D8,E8,F8)=4,(C8*F8*(D8+E8)+MAX(F8-1,0)*IF(ISNUMBER(G8),G8,0))/60,"")</f>
        <v/>
      </c>
      <c r="K8" s="67">
        <f>IF(ISNUMBER(J8),J8-40,"")</f>
        <v/>
      </c>
      <c r="L8" s="68" t="n"/>
      <c r="M8" s="69" t="n"/>
      <c r="N8" s="68" t="n"/>
      <c r="O8" s="63" t="n"/>
    </row>
    <row r="9">
      <c r="A9" s="62" t="n">
        <v>4</v>
      </c>
      <c r="B9" s="63" t="n"/>
      <c r="C9" s="64" t="n"/>
      <c r="D9" s="64" t="n"/>
      <c r="E9" s="64" t="n"/>
      <c r="F9" s="64" t="n"/>
      <c r="G9" s="64" t="n"/>
      <c r="H9" s="65">
        <f>IF(AND(ISNUMBER(D9),ISNUMBER(E9)),IF(E9&gt;0,TEXT(D9/E9,"0.0#")&amp;" : 1",""),"")</f>
        <v/>
      </c>
      <c r="I9" s="66">
        <f>IF(COUNT(C9,D9,F9)=3,C9*F9*D9/60,"")</f>
        <v/>
      </c>
      <c r="J9" s="66">
        <f>IF(COUNT(C9,D9,E9,F9)=4,(C9*F9*(D9+E9)+MAX(F9-1,0)*IF(ISNUMBER(G9),G9,0))/60,"")</f>
        <v/>
      </c>
      <c r="K9" s="67">
        <f>IF(ISNUMBER(J9),J9-40,"")</f>
        <v/>
      </c>
      <c r="L9" s="68" t="n"/>
      <c r="M9" s="69" t="n"/>
      <c r="N9" s="68" t="n"/>
      <c r="O9" s="63" t="n"/>
    </row>
    <row r="10">
      <c r="A10" s="62" t="n">
        <v>5</v>
      </c>
      <c r="B10" s="63" t="n"/>
      <c r="C10" s="64" t="n"/>
      <c r="D10" s="64" t="n"/>
      <c r="E10" s="64" t="n"/>
      <c r="F10" s="64" t="n"/>
      <c r="G10" s="64" t="n"/>
      <c r="H10" s="65">
        <f>IF(AND(ISNUMBER(D10),ISNUMBER(E10)),IF(E10&gt;0,TEXT(D10/E10,"0.0#")&amp;" : 1",""),"")</f>
        <v/>
      </c>
      <c r="I10" s="66">
        <f>IF(COUNT(C10,D10,F10)=3,C10*F10*D10/60,"")</f>
        <v/>
      </c>
      <c r="J10" s="66">
        <f>IF(COUNT(C10,D10,E10,F10)=4,(C10*F10*(D10+E10)+MAX(F10-1,0)*IF(ISNUMBER(G10),G10,0))/60,"")</f>
        <v/>
      </c>
      <c r="K10" s="67">
        <f>IF(ISNUMBER(J10),J10-40,"")</f>
        <v/>
      </c>
      <c r="L10" s="68" t="n"/>
      <c r="M10" s="69" t="n"/>
      <c r="N10" s="68" t="n"/>
      <c r="O10" s="63" t="n"/>
    </row>
    <row r="11">
      <c r="A11" s="62" t="n">
        <v>6</v>
      </c>
      <c r="B11" s="63" t="n"/>
      <c r="C11" s="64" t="n"/>
      <c r="D11" s="64" t="n"/>
      <c r="E11" s="64" t="n"/>
      <c r="F11" s="64" t="n"/>
      <c r="G11" s="64" t="n"/>
      <c r="H11" s="65">
        <f>IF(AND(ISNUMBER(D11),ISNUMBER(E11)),IF(E11&gt;0,TEXT(D11/E11,"0.0#")&amp;" : 1",""),"")</f>
        <v/>
      </c>
      <c r="I11" s="66">
        <f>IF(COUNT(C11,D11,F11)=3,C11*F11*D11/60,"")</f>
        <v/>
      </c>
      <c r="J11" s="66">
        <f>IF(COUNT(C11,D11,E11,F11)=4,(C11*F11*(D11+E11)+MAX(F11-1,0)*IF(ISNUMBER(G11),G11,0))/60,"")</f>
        <v/>
      </c>
      <c r="K11" s="67">
        <f>IF(ISNUMBER(J11),J11-40,"")</f>
        <v/>
      </c>
      <c r="L11" s="68" t="n"/>
      <c r="M11" s="69" t="n"/>
      <c r="N11" s="68" t="n"/>
      <c r="O11" s="63" t="n"/>
    </row>
    <row r="12">
      <c r="A12" s="62" t="n">
        <v>7</v>
      </c>
      <c r="B12" s="63" t="n"/>
      <c r="C12" s="64" t="n"/>
      <c r="D12" s="64" t="n"/>
      <c r="E12" s="64" t="n"/>
      <c r="F12" s="64" t="n"/>
      <c r="G12" s="64" t="n"/>
      <c r="H12" s="65">
        <f>IF(AND(ISNUMBER(D12),ISNUMBER(E12)),IF(E12&gt;0,TEXT(D12/E12,"0.0#")&amp;" : 1",""),"")</f>
        <v/>
      </c>
      <c r="I12" s="66">
        <f>IF(COUNT(C12,D12,F12)=3,C12*F12*D12/60,"")</f>
        <v/>
      </c>
      <c r="J12" s="66">
        <f>IF(COUNT(C12,D12,E12,F12)=4,(C12*F12*(D12+E12)+MAX(F12-1,0)*IF(ISNUMBER(G12),G12,0))/60,"")</f>
        <v/>
      </c>
      <c r="K12" s="67">
        <f>IF(ISNUMBER(J12),J12-40,"")</f>
        <v/>
      </c>
      <c r="L12" s="68" t="n"/>
      <c r="M12" s="69" t="n"/>
      <c r="N12" s="68" t="n"/>
      <c r="O12" s="63" t="n"/>
    </row>
    <row r="13">
      <c r="A13" s="62" t="n">
        <v>8</v>
      </c>
      <c r="B13" s="63" t="n"/>
      <c r="C13" s="64" t="n"/>
      <c r="D13" s="64" t="n"/>
      <c r="E13" s="64" t="n"/>
      <c r="F13" s="64" t="n"/>
      <c r="G13" s="64" t="n"/>
      <c r="H13" s="65">
        <f>IF(AND(ISNUMBER(D13),ISNUMBER(E13)),IF(E13&gt;0,TEXT(D13/E13,"0.0#")&amp;" : 1",""),"")</f>
        <v/>
      </c>
      <c r="I13" s="66">
        <f>IF(COUNT(C13,D13,F13)=3,C13*F13*D13/60,"")</f>
        <v/>
      </c>
      <c r="J13" s="66">
        <f>IF(COUNT(C13,D13,E13,F13)=4,(C13*F13*(D13+E13)+MAX(F13-1,0)*IF(ISNUMBER(G13),G13,0))/60,"")</f>
        <v/>
      </c>
      <c r="K13" s="67">
        <f>IF(ISNUMBER(J13),J13-40,"")</f>
        <v/>
      </c>
      <c r="L13" s="68" t="n"/>
      <c r="M13" s="69" t="n"/>
      <c r="N13" s="68" t="n"/>
      <c r="O13" s="63" t="n"/>
    </row>
    <row r="14">
      <c r="A14" s="62" t="n">
        <v>9</v>
      </c>
      <c r="B14" s="63" t="n"/>
      <c r="C14" s="64" t="n"/>
      <c r="D14" s="64" t="n"/>
      <c r="E14" s="64" t="n"/>
      <c r="F14" s="64" t="n"/>
      <c r="G14" s="64" t="n"/>
      <c r="H14" s="65">
        <f>IF(AND(ISNUMBER(D14),ISNUMBER(E14)),IF(E14&gt;0,TEXT(D14/E14,"0.0#")&amp;" : 1",""),"")</f>
        <v/>
      </c>
      <c r="I14" s="66">
        <f>IF(COUNT(C14,D14,F14)=3,C14*F14*D14/60,"")</f>
        <v/>
      </c>
      <c r="J14" s="66">
        <f>IF(COUNT(C14,D14,E14,F14)=4,(C14*F14*(D14+E14)+MAX(F14-1,0)*IF(ISNUMBER(G14),G14,0))/60,"")</f>
        <v/>
      </c>
      <c r="K14" s="67">
        <f>IF(ISNUMBER(J14),J14-40,"")</f>
        <v/>
      </c>
      <c r="L14" s="68" t="n"/>
      <c r="M14" s="69" t="n"/>
      <c r="N14" s="68" t="n"/>
      <c r="O14" s="63" t="n"/>
    </row>
    <row r="15">
      <c r="A15" s="62" t="n">
        <v>10</v>
      </c>
      <c r="B15" s="63" t="n"/>
      <c r="C15" s="64" t="n"/>
      <c r="D15" s="64" t="n"/>
      <c r="E15" s="64" t="n"/>
      <c r="F15" s="64" t="n"/>
      <c r="G15" s="64" t="n"/>
      <c r="H15" s="65">
        <f>IF(AND(ISNUMBER(D15),ISNUMBER(E15)),IF(E15&gt;0,TEXT(D15/E15,"0.0#")&amp;" : 1",""),"")</f>
        <v/>
      </c>
      <c r="I15" s="66">
        <f>IF(COUNT(C15,D15,F15)=3,C15*F15*D15/60,"")</f>
        <v/>
      </c>
      <c r="J15" s="66">
        <f>IF(COUNT(C15,D15,E15,F15)=4,(C15*F15*(D15+E15)+MAX(F15-1,0)*IF(ISNUMBER(G15),G15,0))/60,"")</f>
        <v/>
      </c>
      <c r="K15" s="67">
        <f>IF(ISNUMBER(J15),J15-40,"")</f>
        <v/>
      </c>
      <c r="L15" s="68" t="n"/>
      <c r="M15" s="69" t="n"/>
      <c r="N15" s="68" t="n"/>
      <c r="O15" s="63" t="n"/>
    </row>
    <row r="16">
      <c r="A16" s="62" t="n">
        <v>11</v>
      </c>
      <c r="B16" s="63" t="n"/>
      <c r="C16" s="64" t="n"/>
      <c r="D16" s="64" t="n"/>
      <c r="E16" s="64" t="n"/>
      <c r="F16" s="64" t="n"/>
      <c r="G16" s="64" t="n"/>
      <c r="H16" s="65">
        <f>IF(AND(ISNUMBER(D16),ISNUMBER(E16)),IF(E16&gt;0,TEXT(D16/E16,"0.0#")&amp;" : 1",""),"")</f>
        <v/>
      </c>
      <c r="I16" s="66">
        <f>IF(COUNT(C16,D16,F16)=3,C16*F16*D16/60,"")</f>
        <v/>
      </c>
      <c r="J16" s="66">
        <f>IF(COUNT(C16,D16,E16,F16)=4,(C16*F16*(D16+E16)+MAX(F16-1,0)*IF(ISNUMBER(G16),G16,0))/60,"")</f>
        <v/>
      </c>
      <c r="K16" s="67">
        <f>IF(ISNUMBER(J16),J16-40,"")</f>
        <v/>
      </c>
      <c r="L16" s="68" t="n"/>
      <c r="M16" s="69" t="n"/>
      <c r="N16" s="68" t="n"/>
      <c r="O16" s="63" t="n"/>
    </row>
    <row r="17">
      <c r="A17" s="62" t="n">
        <v>12</v>
      </c>
      <c r="B17" s="63" t="n"/>
      <c r="C17" s="64" t="n"/>
      <c r="D17" s="64" t="n"/>
      <c r="E17" s="64" t="n"/>
      <c r="F17" s="64" t="n"/>
      <c r="G17" s="64" t="n"/>
      <c r="H17" s="65">
        <f>IF(AND(ISNUMBER(D17),ISNUMBER(E17)),IF(E17&gt;0,TEXT(D17/E17,"0.0#")&amp;" : 1",""),"")</f>
        <v/>
      </c>
      <c r="I17" s="66">
        <f>IF(COUNT(C17,D17,F17)=3,C17*F17*D17/60,"")</f>
        <v/>
      </c>
      <c r="J17" s="66">
        <f>IF(COUNT(C17,D17,E17,F17)=4,(C17*F17*(D17+E17)+MAX(F17-1,0)*IF(ISNUMBER(G17),G17,0))/60,"")</f>
        <v/>
      </c>
      <c r="K17" s="67">
        <f>IF(ISNUMBER(J17),J17-40,"")</f>
        <v/>
      </c>
      <c r="L17" s="68" t="n"/>
      <c r="M17" s="69" t="n"/>
      <c r="N17" s="68" t="n"/>
      <c r="O17" s="63" t="n"/>
    </row>
  </sheetData>
  <mergeCells count="1">
    <mergeCell ref="A2:O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zoomScale="90" workbookViewId="0">
      <selection activeCell="A1" sqref="A1"/>
    </sheetView>
  </sheetViews>
  <sheetFormatPr baseColWidth="8" defaultRowHeight="15"/>
  <cols>
    <col width="36" customWidth="1" min="1" max="1"/>
    <col width="9" customWidth="1" min="2" max="2"/>
    <col width="9" customWidth="1" min="3" max="3"/>
    <col width="9" customWidth="1" min="4" max="4"/>
    <col width="40" customWidth="1" min="5" max="5"/>
    <col width="34" customWidth="1" min="6" max="6"/>
  </cols>
  <sheetData>
    <row r="1">
      <c r="A1" s="12" t="inlineStr">
        <is>
          <t>대상자 흐름 (CONSORT/TREND 흐름도)</t>
        </is>
      </c>
    </row>
    <row r="2" ht="42" customHeight="1">
      <c r="A2" s="13" t="inlineStr">
        <is>
          <t>각 선수는 단계마다 한 번만 셉니다. '중재 중단'은 중재를 그만뒀지만 사후 측정은 받은 경우, '추적 소실'은 사후 측정을 받지 못한 경우입니다. 중단했지만 사후 측정을 받은 선수는 분석에 포함될 수 있습니다.</t>
        </is>
      </c>
    </row>
    <row r="4">
      <c r="A4" s="14" t="inlineStr">
        <is>
          <t>단계</t>
        </is>
      </c>
      <c r="B4" s="14" t="inlineStr">
        <is>
          <t>실험군</t>
        </is>
      </c>
      <c r="C4" s="14" t="inlineStr">
        <is>
          <t>통제군</t>
        </is>
      </c>
      <c r="D4" s="14" t="inlineStr">
        <is>
          <t>합계</t>
        </is>
      </c>
      <c r="E4" s="14" t="inlineStr">
        <is>
          <t>사유·설명 (직접 입력)</t>
        </is>
      </c>
      <c r="F4" s="14" t="inlineStr">
        <is>
          <t>점검</t>
        </is>
      </c>
    </row>
    <row r="5" ht="28" customHeight="1">
      <c r="A5" s="19" t="inlineStr">
        <is>
          <t>적격성 평가 인원</t>
        </is>
      </c>
      <c r="B5" s="70" t="inlineStr">
        <is>
          <t>—</t>
        </is>
      </c>
      <c r="C5" s="70" t="inlineStr">
        <is>
          <t>—</t>
        </is>
      </c>
      <c r="D5" s="22" t="n"/>
      <c r="E5" s="20" t="n"/>
      <c r="F5" s="19">
        <f>IF(COUNT(D5:D9)&lt;5,"",IF(D5-SUM(D6:D8)&lt;&gt;D9,"적격성−배정 전 제외와 배정 합계가 다름",""))</f>
        <v/>
      </c>
    </row>
    <row r="6" ht="28" customHeight="1">
      <c r="A6" s="19" t="inlineStr">
        <is>
          <t>배정 전 제외: 선정기준 미충족</t>
        </is>
      </c>
      <c r="B6" s="70" t="inlineStr">
        <is>
          <t>—</t>
        </is>
      </c>
      <c r="C6" s="70" t="inlineStr">
        <is>
          <t>—</t>
        </is>
      </c>
      <c r="D6" s="22" t="n"/>
      <c r="E6" s="20" t="n"/>
      <c r="F6" s="19" t="n"/>
    </row>
    <row r="7" ht="28" customHeight="1">
      <c r="A7" s="19" t="inlineStr">
        <is>
          <t>배정 전 제외: 참여 거부</t>
        </is>
      </c>
      <c r="B7" s="70" t="inlineStr">
        <is>
          <t>—</t>
        </is>
      </c>
      <c r="C7" s="70" t="inlineStr">
        <is>
          <t>—</t>
        </is>
      </c>
      <c r="D7" s="22" t="n"/>
      <c r="E7" s="20" t="n"/>
      <c r="F7" s="19" t="n"/>
    </row>
    <row r="8" ht="28" customHeight="1">
      <c r="A8" s="19" t="inlineStr">
        <is>
          <t>배정 전 제외: 기타</t>
        </is>
      </c>
      <c r="B8" s="70" t="inlineStr">
        <is>
          <t>—</t>
        </is>
      </c>
      <c r="C8" s="70" t="inlineStr">
        <is>
          <t>—</t>
        </is>
      </c>
      <c r="D8" s="22" t="n"/>
      <c r="E8" s="20" t="n"/>
      <c r="F8" s="19" t="n"/>
    </row>
    <row r="9" ht="28" customHeight="1">
      <c r="A9" s="19" t="inlineStr">
        <is>
          <t>배정 인원</t>
        </is>
      </c>
      <c r="B9" s="22" t="n"/>
      <c r="C9" s="22" t="n"/>
      <c r="D9" s="70">
        <f>IF(COUNT(B9:C9)=0,"",SUM(B9:C9))</f>
        <v/>
      </c>
      <c r="E9" s="20" t="n"/>
      <c r="F9" s="19">
        <f>IF(COUNT(B9:C9)&lt;2,"",IF(OR(B9&lt;&gt;B17,C9&lt;&gt;C17),"배정 인원과 대상자 시트 입력 인원이 다름",""))</f>
        <v/>
      </c>
    </row>
    <row r="10" ht="28" customHeight="1">
      <c r="A10" s="19" t="inlineStr">
        <is>
          <t>배정된 중재를 실제로 받음</t>
        </is>
      </c>
      <c r="B10" s="22" t="n"/>
      <c r="C10" s="22" t="n"/>
      <c r="D10" s="70">
        <f>IF(COUNT(B10:C10)=0,"",SUM(B10:C10))</f>
        <v/>
      </c>
      <c r="E10" s="20" t="n"/>
      <c r="F10" s="19" t="n"/>
    </row>
    <row r="11" ht="28" customHeight="1">
      <c r="A11" s="19" t="inlineStr">
        <is>
          <t>중재 중단 (사후 측정은 받음)</t>
        </is>
      </c>
      <c r="B11" s="22" t="n"/>
      <c r="C11" s="22" t="n"/>
      <c r="D11" s="70">
        <f>IF(COUNT(B11:C11)=0,"",SUM(B11:C11))</f>
        <v/>
      </c>
      <c r="E11" s="20" t="n"/>
      <c r="F11" s="19" t="n"/>
    </row>
    <row r="12" ht="28" customHeight="1">
      <c r="A12" s="19" t="inlineStr">
        <is>
          <t>추적 소실 (사후 측정 못 받음)</t>
        </is>
      </c>
      <c r="B12" s="22" t="n"/>
      <c r="C12" s="22" t="n"/>
      <c r="D12" s="70">
        <f>IF(COUNT(B12:C12)=0,"",SUM(B12:C12))</f>
        <v/>
      </c>
      <c r="E12" s="20" t="n"/>
      <c r="F12" s="19" t="n"/>
    </row>
    <row r="13" ht="28" customHeight="1">
      <c r="A13" s="19" t="inlineStr">
        <is>
          <t>VO2max 분석 인원 (직접 입력)</t>
        </is>
      </c>
      <c r="B13" s="22" t="n"/>
      <c r="C13" s="22" t="n"/>
      <c r="D13" s="70">
        <f>IF(COUNT(B13:C13)=0,"",SUM(B13:C13))</f>
        <v/>
      </c>
      <c r="E13" s="20" t="n"/>
      <c r="F13" s="19">
        <f>IF(COUNT(B9:C9,B13:C13)&lt;4,"",IF(OR(B13&gt;B9-N(B12),C13&gt;C9-N(C12)),"분석 인원이 배정−추적소실보다 많음",""))</f>
        <v/>
      </c>
    </row>
    <row r="14" ht="28" customHeight="1">
      <c r="A14" s="19" t="inlineStr">
        <is>
          <t>FMS 분석 인원 (직접 입력)</t>
        </is>
      </c>
      <c r="B14" s="22" t="n"/>
      <c r="C14" s="22" t="n"/>
      <c r="D14" s="70">
        <f>IF(COUNT(B14:C14)=0,"",SUM(B14:C14))</f>
        <v/>
      </c>
      <c r="E14" s="20" t="n"/>
      <c r="F14" s="19">
        <f>IF(COUNT(B9:C9,B14:C14)&lt;4,"",IF(OR(B14&gt;B9-N(B12),C14&gt;C9-N(C12)),"분석 인원이 배정−추적소실보다 많음",""))</f>
        <v/>
      </c>
    </row>
    <row r="15" ht="28" customHeight="1">
      <c r="A15" s="19" t="inlineStr">
        <is>
          <t>VO2max 분석 인원 (자동: 자동검산 A)</t>
        </is>
      </c>
      <c r="B15" s="70">
        <f>'자동검산'!B6</f>
        <v/>
      </c>
      <c r="C15" s="70">
        <f>'자동검산'!B7</f>
        <v/>
      </c>
      <c r="D15" s="70">
        <f>B15+C15</f>
        <v/>
      </c>
      <c r="E15" s="20" t="n"/>
      <c r="F15" s="19">
        <f>IF(COUNT(B13:C13)=0,"",IF(AND(B13=B15,C13=C15),"같음","직접 입력값과 자동 집계가 다름: 분석포함·결측 확인"))</f>
        <v/>
      </c>
    </row>
    <row r="16" ht="28" customHeight="1">
      <c r="A16" s="19" t="inlineStr">
        <is>
          <t>FMS 분석 인원 (자동: 자동검산 B)</t>
        </is>
      </c>
      <c r="B16" s="70">
        <f>'자동검산'!B12</f>
        <v/>
      </c>
      <c r="C16" s="70">
        <f>'자동검산'!B13</f>
        <v/>
      </c>
      <c r="D16" s="70">
        <f>B16+C16</f>
        <v/>
      </c>
      <c r="E16" s="20" t="n"/>
      <c r="F16" s="19">
        <f>IF(COUNT(B14:C14)=0,"",IF(AND(B14=B16,C14=C16),"같음","직접 입력값과 자동 집계가 다름: 분석포함·결측 확인"))</f>
        <v/>
      </c>
    </row>
    <row r="17" ht="28" customHeight="1">
      <c r="A17" s="19" t="inlineStr">
        <is>
          <t>대상자 시트 입력 인원 (자동)</t>
        </is>
      </c>
      <c r="B17" s="70">
        <f>COUNTIF('대상자_VO2max'!$B$4:$B$33,1)</f>
        <v/>
      </c>
      <c r="C17" s="70">
        <f>COUNTIF('대상자_VO2max'!$B$4:$B$33,2)</f>
        <v/>
      </c>
      <c r="D17" s="70">
        <f>B17+C17</f>
        <v/>
      </c>
      <c r="E17" s="20" t="n"/>
      <c r="F17" s="19" t="n"/>
    </row>
  </sheetData>
  <mergeCells count="1">
    <mergeCell ref="A2:F2"/>
  </mergeCells>
  <conditionalFormatting sqref="F5:F20">
    <cfRule type="expression" priority="1" dxfId="0">
      <formula>ISNUMBER(SEARCH("다름",F5))+ISNUMBER(SEARCH("많음",F5))</formula>
    </cfRule>
    <cfRule type="expression" priority="2" dxfId="1">
      <formula>F5="같음"</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7"/>
  <sheetViews>
    <sheetView zoomScale="9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12" t="inlineStr">
        <is>
          <t>자동 검산 (입력 자료 → 기술통계·검정값 → 포스터 보고값과의 차이 기록)</t>
        </is>
      </c>
    </row>
    <row r="2" ht="56" customHeight="1">
      <c r="A2" s="13" t="inlineStr">
        <is>
          <t>집단 1/2, 분석포함=1, 사전·사후가 모두 있는 대상자만 씁니다(완전사례). 집단×시기 상호작용 F는 두 시점 혼합 반복측정 ANOVA의 상호작용과 수학적으로 같은 '변화량의 독립표본 t²(등분산 가정)'입니다. FMS 총점은 '좌우 중 낮은 점수, clearing 통증=0, 21점 만점'(Cook 2014) 규칙으로 계산합니다(연구정보 F9 참고). 하위항목 비모수 검정·ICC 등 최종 분석은 자료를 받은 뒤 따로 합니다.</t>
        </is>
      </c>
    </row>
    <row r="4">
      <c r="A4" s="71" t="inlineStr">
        <is>
          <t>A. VO2max 집단별 사전·사후 (mL/kg/min)</t>
        </is>
      </c>
    </row>
    <row r="5" ht="32" customHeight="1">
      <c r="A5" s="14" t="inlineStr">
        <is>
          <t>집단</t>
        </is>
      </c>
      <c r="B5" s="14" t="inlineStr">
        <is>
          <t>n</t>
        </is>
      </c>
      <c r="C5" s="14" t="inlineStr">
        <is>
          <t>사전 M</t>
        </is>
      </c>
      <c r="D5" s="14" t="inlineStr">
        <is>
          <t>사전 SD</t>
        </is>
      </c>
      <c r="E5" s="14" t="inlineStr">
        <is>
          <t>사후 M</t>
        </is>
      </c>
      <c r="F5" s="14" t="inlineStr">
        <is>
          <t>사후 SD</t>
        </is>
      </c>
      <c r="G5" s="14" t="inlineStr">
        <is>
          <t>변화 M
(사후−사전)</t>
        </is>
      </c>
      <c r="H5" s="14" t="inlineStr">
        <is>
          <t>변화 SD</t>
        </is>
      </c>
      <c r="I5" s="14" t="inlineStr">
        <is>
          <t>대응 t
(사후−사전)</t>
        </is>
      </c>
      <c r="J5" s="14" t="inlineStr">
        <is>
          <t>df</t>
        </is>
      </c>
      <c r="K5" s="14" t="inlineStr">
        <is>
          <t>p (양측)</t>
        </is>
      </c>
      <c r="L5" s="14" t="inlineStr">
        <is>
          <t>변화 95% CI
하한</t>
        </is>
      </c>
      <c r="M5" s="14" t="inlineStr">
        <is>
          <t>변화 95% CI
상한</t>
        </is>
      </c>
      <c r="N5" s="14" t="inlineStr">
        <is>
          <t>효과크기 dz</t>
        </is>
      </c>
    </row>
    <row r="6">
      <c r="A6" s="72" t="inlineStr">
        <is>
          <t>실험군</t>
        </is>
      </c>
      <c r="B6" s="73">
        <f>SUMPRODUCT((grp=1)*(inc=1)*ISNUMBER(d_vo2))</f>
        <v/>
      </c>
      <c r="C6" s="74">
        <f t="array" ref="C6">IF(B6&lt;1,"",AVERAGE(IF((grp=1)*(inc=1)*ISNUMBER(d_vo2),vo2_pre)))</f>
        <v/>
      </c>
      <c r="D6" s="74">
        <f t="array" ref="D6">IF(B6&lt;2,"",STDEV(IF((grp=1)*(inc=1)*ISNUMBER(d_vo2),vo2_pre)))</f>
        <v/>
      </c>
      <c r="E6" s="74">
        <f t="array" ref="E6">IF(B6&lt;1,"",AVERAGE(IF((grp=1)*(inc=1)*ISNUMBER(d_vo2),vo2_post)))</f>
        <v/>
      </c>
      <c r="F6" s="74">
        <f t="array" ref="F6">IF(B6&lt;2,"",STDEV(IF((grp=1)*(inc=1)*ISNUMBER(d_vo2),vo2_post)))</f>
        <v/>
      </c>
      <c r="G6" s="74">
        <f t="array" ref="G6">IF(B6&lt;1,"",AVERAGE(IF((grp=1)*(inc=1)*ISNUMBER(d_vo2),d_vo2)))</f>
        <v/>
      </c>
      <c r="H6" s="74">
        <f t="array" ref="H6">IF(B6&lt;2,"",STDEV(IF((grp=1)*(inc=1)*ISNUMBER(d_vo2),d_vo2)))</f>
        <v/>
      </c>
      <c r="I6" s="75">
        <f>IF(OR(B6&lt;2,H6=""),"",IF(ROUND(H6,10)=0,"",G6/(H6/SQRT(B6))))</f>
        <v/>
      </c>
      <c r="J6" s="73">
        <f>IF(B6&lt;2,"",B6-1)</f>
        <v/>
      </c>
      <c r="K6" s="76">
        <f>IF(I6="","",TDIST(ABS(I6),J6,2))</f>
        <v/>
      </c>
      <c r="L6" s="74">
        <f>IF(I6="","",G6-TINV(0.05,J6)*H6/SQRT(B6))</f>
        <v/>
      </c>
      <c r="M6" s="74">
        <f>IF(I6="","",G6+TINV(0.05,J6)*H6/SQRT(B6))</f>
        <v/>
      </c>
      <c r="N6" s="74">
        <f>IF(I6="","",G6/H6)</f>
        <v/>
      </c>
    </row>
    <row r="7">
      <c r="A7" s="72" t="inlineStr">
        <is>
          <t>통제군</t>
        </is>
      </c>
      <c r="B7" s="73">
        <f>SUMPRODUCT((grp=2)*(inc=1)*ISNUMBER(d_vo2))</f>
        <v/>
      </c>
      <c r="C7" s="74">
        <f t="array" ref="C7">IF(B7&lt;1,"",AVERAGE(IF((grp=2)*(inc=1)*ISNUMBER(d_vo2),vo2_pre)))</f>
        <v/>
      </c>
      <c r="D7" s="74">
        <f t="array" ref="D7">IF(B7&lt;2,"",STDEV(IF((grp=2)*(inc=1)*ISNUMBER(d_vo2),vo2_pre)))</f>
        <v/>
      </c>
      <c r="E7" s="74">
        <f t="array" ref="E7">IF(B7&lt;1,"",AVERAGE(IF((grp=2)*(inc=1)*ISNUMBER(d_vo2),vo2_post)))</f>
        <v/>
      </c>
      <c r="F7" s="74">
        <f t="array" ref="F7">IF(B7&lt;2,"",STDEV(IF((grp=2)*(inc=1)*ISNUMBER(d_vo2),vo2_post)))</f>
        <v/>
      </c>
      <c r="G7" s="74">
        <f t="array" ref="G7">IF(B7&lt;1,"",AVERAGE(IF((grp=2)*(inc=1)*ISNUMBER(d_vo2),d_vo2)))</f>
        <v/>
      </c>
      <c r="H7" s="74">
        <f t="array" ref="H7">IF(B7&lt;2,"",STDEV(IF((grp=2)*(inc=1)*ISNUMBER(d_vo2),d_vo2)))</f>
        <v/>
      </c>
      <c r="I7" s="75">
        <f>IF(OR(B7&lt;2,H7=""),"",IF(ROUND(H7,10)=0,"",G7/(H7/SQRT(B7))))</f>
        <v/>
      </c>
      <c r="J7" s="73">
        <f>IF(B7&lt;2,"",B7-1)</f>
        <v/>
      </c>
      <c r="K7" s="76">
        <f>IF(I7="","",TDIST(ABS(I7),J7,2))</f>
        <v/>
      </c>
      <c r="L7" s="74">
        <f>IF(I7="","",G7-TINV(0.05,J7)*H7/SQRT(B7))</f>
        <v/>
      </c>
      <c r="M7" s="74">
        <f>IF(I7="","",G7+TINV(0.05,J7)*H7/SQRT(B7))</f>
        <v/>
      </c>
      <c r="N7" s="74">
        <f>IF(I7="","",G7/H7)</f>
        <v/>
      </c>
    </row>
    <row r="8">
      <c r="A8" s="2" t="inlineStr">
        <is>
          <t>단위: mL/kg/min. t는 사후−사전 기준(양수=증가). SPSS는 보통 사전−사후로 계산해 부호가 반대입니다.</t>
        </is>
      </c>
    </row>
    <row r="10">
      <c r="A10" s="71" t="inlineStr">
        <is>
          <t>B. FMS 총점 집단별 사전·사후 (점) — FMS 시트(평가자1, 하위항목이 없으면 SPSS총점)</t>
        </is>
      </c>
    </row>
    <row r="11" ht="32" customHeight="1">
      <c r="A11" s="14" t="inlineStr">
        <is>
          <t>집단</t>
        </is>
      </c>
      <c r="B11" s="14" t="inlineStr">
        <is>
          <t>n</t>
        </is>
      </c>
      <c r="C11" s="14" t="inlineStr">
        <is>
          <t>사전 M</t>
        </is>
      </c>
      <c r="D11" s="14" t="inlineStr">
        <is>
          <t>사전 SD</t>
        </is>
      </c>
      <c r="E11" s="14" t="inlineStr">
        <is>
          <t>사후 M</t>
        </is>
      </c>
      <c r="F11" s="14" t="inlineStr">
        <is>
          <t>사후 SD</t>
        </is>
      </c>
      <c r="G11" s="14" t="inlineStr">
        <is>
          <t>변화 M
(사후−사전)</t>
        </is>
      </c>
      <c r="H11" s="14" t="inlineStr">
        <is>
          <t>변화 SD</t>
        </is>
      </c>
      <c r="I11" s="14" t="inlineStr">
        <is>
          <t>대응 t
(사후−사전)</t>
        </is>
      </c>
      <c r="J11" s="14" t="inlineStr">
        <is>
          <t>df</t>
        </is>
      </c>
      <c r="K11" s="14" t="inlineStr">
        <is>
          <t>p (양측)</t>
        </is>
      </c>
      <c r="L11" s="14" t="inlineStr">
        <is>
          <t>변화 95% CI
하한</t>
        </is>
      </c>
      <c r="M11" s="14" t="inlineStr">
        <is>
          <t>변화 95% CI
상한</t>
        </is>
      </c>
      <c r="N11" s="14" t="inlineStr">
        <is>
          <t>효과크기 dz</t>
        </is>
      </c>
    </row>
    <row r="12">
      <c r="A12" s="72" t="inlineStr">
        <is>
          <t>실험군</t>
        </is>
      </c>
      <c r="B12" s="73">
        <f>SUMPRODUCT((grp_f=1)*(inc_f=1)*ISNUMBER(d_fms))</f>
        <v/>
      </c>
      <c r="C12" s="74">
        <f t="array" ref="C12">IF(B12&lt;1,"",AVERAGE(IF((grp_f=1)*(inc_f=1)*ISNUMBER(d_fms),fms_pre)))</f>
        <v/>
      </c>
      <c r="D12" s="74">
        <f t="array" ref="D12">IF(B12&lt;2,"",STDEV(IF((grp_f=1)*(inc_f=1)*ISNUMBER(d_fms),fms_pre)))</f>
        <v/>
      </c>
      <c r="E12" s="74">
        <f t="array" ref="E12">IF(B12&lt;1,"",AVERAGE(IF((grp_f=1)*(inc_f=1)*ISNUMBER(d_fms),fms_post)))</f>
        <v/>
      </c>
      <c r="F12" s="74">
        <f t="array" ref="F12">IF(B12&lt;2,"",STDEV(IF((grp_f=1)*(inc_f=1)*ISNUMBER(d_fms),fms_post)))</f>
        <v/>
      </c>
      <c r="G12" s="74">
        <f t="array" ref="G12">IF(B12&lt;1,"",AVERAGE(IF((grp_f=1)*(inc_f=1)*ISNUMBER(d_fms),d_fms)))</f>
        <v/>
      </c>
      <c r="H12" s="74">
        <f t="array" ref="H12">IF(B12&lt;2,"",STDEV(IF((grp_f=1)*(inc_f=1)*ISNUMBER(d_fms),d_fms)))</f>
        <v/>
      </c>
      <c r="I12" s="75">
        <f>IF(OR(B12&lt;2,H12=""),"",IF(ROUND(H12,10)=0,"",G12/(H12/SQRT(B12))))</f>
        <v/>
      </c>
      <c r="J12" s="73">
        <f>IF(B12&lt;2,"",B12-1)</f>
        <v/>
      </c>
      <c r="K12" s="76">
        <f>IF(I12="","",TDIST(ABS(I12),J12,2))</f>
        <v/>
      </c>
      <c r="L12" s="74">
        <f>IF(I12="","",G12-TINV(0.05,J12)*H12/SQRT(B12))</f>
        <v/>
      </c>
      <c r="M12" s="74">
        <f>IF(I12="","",G12+TINV(0.05,J12)*H12/SQRT(B12))</f>
        <v/>
      </c>
      <c r="N12" s="74">
        <f>IF(I12="","",G12/H12)</f>
        <v/>
      </c>
    </row>
    <row r="13">
      <c r="A13" s="72" t="inlineStr">
        <is>
          <t>통제군</t>
        </is>
      </c>
      <c r="B13" s="73">
        <f>SUMPRODUCT((grp_f=2)*(inc_f=1)*ISNUMBER(d_fms))</f>
        <v/>
      </c>
      <c r="C13" s="74">
        <f t="array" ref="C13">IF(B13&lt;1,"",AVERAGE(IF((grp_f=2)*(inc_f=1)*ISNUMBER(d_fms),fms_pre)))</f>
        <v/>
      </c>
      <c r="D13" s="74">
        <f t="array" ref="D13">IF(B13&lt;2,"",STDEV(IF((grp_f=2)*(inc_f=1)*ISNUMBER(d_fms),fms_pre)))</f>
        <v/>
      </c>
      <c r="E13" s="74">
        <f t="array" ref="E13">IF(B13&lt;1,"",AVERAGE(IF((grp_f=2)*(inc_f=1)*ISNUMBER(d_fms),fms_post)))</f>
        <v/>
      </c>
      <c r="F13" s="74">
        <f t="array" ref="F13">IF(B13&lt;2,"",STDEV(IF((grp_f=2)*(inc_f=1)*ISNUMBER(d_fms),fms_post)))</f>
        <v/>
      </c>
      <c r="G13" s="74">
        <f t="array" ref="G13">IF(B13&lt;1,"",AVERAGE(IF((grp_f=2)*(inc_f=1)*ISNUMBER(d_fms),d_fms)))</f>
        <v/>
      </c>
      <c r="H13" s="74">
        <f t="array" ref="H13">IF(B13&lt;2,"",STDEV(IF((grp_f=2)*(inc_f=1)*ISNUMBER(d_fms),d_fms)))</f>
        <v/>
      </c>
      <c r="I13" s="75">
        <f>IF(OR(B13&lt;2,H13=""),"",IF(ROUND(H13,10)=0,"",G13/(H13/SQRT(B13))))</f>
        <v/>
      </c>
      <c r="J13" s="73">
        <f>IF(B13&lt;2,"",B13-1)</f>
        <v/>
      </c>
      <c r="K13" s="76">
        <f>IF(I13="","",TDIST(ABS(I13),J13,2))</f>
        <v/>
      </c>
      <c r="L13" s="74">
        <f>IF(I13="","",G13-TINV(0.05,J13)*H13/SQRT(B13))</f>
        <v/>
      </c>
      <c r="M13" s="74">
        <f>IF(I13="","",G13+TINV(0.05,J13)*H13/SQRT(B13))</f>
        <v/>
      </c>
      <c r="N13" s="74">
        <f>IF(I13="","",G13/H13)</f>
        <v/>
      </c>
    </row>
    <row r="14">
      <c r="A14" s="2" t="inlineStr">
        <is>
          <t>단위: 점(21점 만점). t는 사후−사전 기준(양수=증가). SPSS는 보통 사전−사후로 계산해 부호가 반대입니다.</t>
        </is>
      </c>
    </row>
    <row r="16">
      <c r="A16" s="71" t="inlineStr">
        <is>
          <t>B-2. FMS 총점: 두 평가자 총점의 평균 (FMS_평가자2 시트 입력 시)</t>
        </is>
      </c>
    </row>
    <row r="17" ht="32" customHeight="1">
      <c r="A17" s="14" t="inlineStr">
        <is>
          <t>집단</t>
        </is>
      </c>
      <c r="B17" s="14" t="inlineStr">
        <is>
          <t>n</t>
        </is>
      </c>
      <c r="C17" s="14" t="inlineStr">
        <is>
          <t>사전 M</t>
        </is>
      </c>
      <c r="D17" s="14" t="inlineStr">
        <is>
          <t>사전 SD</t>
        </is>
      </c>
      <c r="E17" s="14" t="inlineStr">
        <is>
          <t>사후 M</t>
        </is>
      </c>
      <c r="F17" s="14" t="inlineStr">
        <is>
          <t>사후 SD</t>
        </is>
      </c>
      <c r="G17" s="14" t="inlineStr">
        <is>
          <t>변화 M
(사후−사전)</t>
        </is>
      </c>
      <c r="H17" s="14" t="inlineStr">
        <is>
          <t>변화 SD</t>
        </is>
      </c>
      <c r="I17" s="14" t="inlineStr">
        <is>
          <t>대응 t
(사후−사전)</t>
        </is>
      </c>
      <c r="J17" s="14" t="inlineStr">
        <is>
          <t>df</t>
        </is>
      </c>
      <c r="K17" s="14" t="inlineStr">
        <is>
          <t>p (양측)</t>
        </is>
      </c>
      <c r="L17" s="14" t="inlineStr">
        <is>
          <t>변화 95% CI
하한</t>
        </is>
      </c>
      <c r="M17" s="14" t="inlineStr">
        <is>
          <t>변화 95% CI
상한</t>
        </is>
      </c>
      <c r="N17" s="14" t="inlineStr">
        <is>
          <t>효과크기 dz</t>
        </is>
      </c>
    </row>
    <row r="18">
      <c r="A18" s="72" t="inlineStr">
        <is>
          <t>실험군</t>
        </is>
      </c>
      <c r="B18" s="73">
        <f>SUMPRODUCT((grp_f=1)*(inc_f=1)*ISNUMBER(d_fms_avg))</f>
        <v/>
      </c>
      <c r="C18" s="74">
        <f t="array" ref="C18">IF(B18&lt;1,"",AVERAGE(IF((grp_f=1)*(inc_f=1)*ISNUMBER(d_fms_avg),fms_avg_pre)))</f>
        <v/>
      </c>
      <c r="D18" s="74">
        <f t="array" ref="D18">IF(B18&lt;2,"",STDEV(IF((grp_f=1)*(inc_f=1)*ISNUMBER(d_fms_avg),fms_avg_pre)))</f>
        <v/>
      </c>
      <c r="E18" s="74">
        <f t="array" ref="E18">IF(B18&lt;1,"",AVERAGE(IF((grp_f=1)*(inc_f=1)*ISNUMBER(d_fms_avg),fms_avg_post)))</f>
        <v/>
      </c>
      <c r="F18" s="74">
        <f t="array" ref="F18">IF(B18&lt;2,"",STDEV(IF((grp_f=1)*(inc_f=1)*ISNUMBER(d_fms_avg),fms_avg_post)))</f>
        <v/>
      </c>
      <c r="G18" s="74">
        <f t="array" ref="G18">IF(B18&lt;1,"",AVERAGE(IF((grp_f=1)*(inc_f=1)*ISNUMBER(d_fms_avg),d_fms_avg)))</f>
        <v/>
      </c>
      <c r="H18" s="74">
        <f t="array" ref="H18">IF(B18&lt;2,"",STDEV(IF((grp_f=1)*(inc_f=1)*ISNUMBER(d_fms_avg),d_fms_avg)))</f>
        <v/>
      </c>
      <c r="I18" s="75">
        <f>IF(OR(B18&lt;2,H18=""),"",IF(ROUND(H18,10)=0,"",G18/(H18/SQRT(B18))))</f>
        <v/>
      </c>
      <c r="J18" s="73">
        <f>IF(B18&lt;2,"",B18-1)</f>
        <v/>
      </c>
      <c r="K18" s="76">
        <f>IF(I18="","",TDIST(ABS(I18),J18,2))</f>
        <v/>
      </c>
      <c r="L18" s="74">
        <f>IF(I18="","",G18-TINV(0.05,J18)*H18/SQRT(B18))</f>
        <v/>
      </c>
      <c r="M18" s="74">
        <f>IF(I18="","",G18+TINV(0.05,J18)*H18/SQRT(B18))</f>
        <v/>
      </c>
      <c r="N18" s="74">
        <f>IF(I18="","",G18/H18)</f>
        <v/>
      </c>
    </row>
    <row r="19">
      <c r="A19" s="72" t="inlineStr">
        <is>
          <t>통제군</t>
        </is>
      </c>
      <c r="B19" s="73">
        <f>SUMPRODUCT((grp_f=2)*(inc_f=1)*ISNUMBER(d_fms_avg))</f>
        <v/>
      </c>
      <c r="C19" s="74">
        <f t="array" ref="C19">IF(B19&lt;1,"",AVERAGE(IF((grp_f=2)*(inc_f=1)*ISNUMBER(d_fms_avg),fms_avg_pre)))</f>
        <v/>
      </c>
      <c r="D19" s="74">
        <f t="array" ref="D19">IF(B19&lt;2,"",STDEV(IF((grp_f=2)*(inc_f=1)*ISNUMBER(d_fms_avg),fms_avg_pre)))</f>
        <v/>
      </c>
      <c r="E19" s="74">
        <f t="array" ref="E19">IF(B19&lt;1,"",AVERAGE(IF((grp_f=2)*(inc_f=1)*ISNUMBER(d_fms_avg),fms_avg_post)))</f>
        <v/>
      </c>
      <c r="F19" s="74">
        <f t="array" ref="F19">IF(B19&lt;2,"",STDEV(IF((grp_f=2)*(inc_f=1)*ISNUMBER(d_fms_avg),fms_avg_post)))</f>
        <v/>
      </c>
      <c r="G19" s="74">
        <f t="array" ref="G19">IF(B19&lt;1,"",AVERAGE(IF((grp_f=2)*(inc_f=1)*ISNUMBER(d_fms_avg),d_fms_avg)))</f>
        <v/>
      </c>
      <c r="H19" s="74">
        <f t="array" ref="H19">IF(B19&lt;2,"",STDEV(IF((grp_f=2)*(inc_f=1)*ISNUMBER(d_fms_avg),d_fms_avg)))</f>
        <v/>
      </c>
      <c r="I19" s="75">
        <f>IF(OR(B19&lt;2,H19=""),"",IF(ROUND(H19,10)=0,"",G19/(H19/SQRT(B19))))</f>
        <v/>
      </c>
      <c r="J19" s="73">
        <f>IF(B19&lt;2,"",B19-1)</f>
        <v/>
      </c>
      <c r="K19" s="76">
        <f>IF(I19="","",TDIST(ABS(I19),J19,2))</f>
        <v/>
      </c>
      <c r="L19" s="74">
        <f>IF(I19="","",G19-TINV(0.05,J19)*H19/SQRT(B19))</f>
        <v/>
      </c>
      <c r="M19" s="74">
        <f>IF(I19="","",G19+TINV(0.05,J19)*H19/SQRT(B19))</f>
        <v/>
      </c>
      <c r="N19" s="74">
        <f>IF(I19="","",G19/H19)</f>
        <v/>
      </c>
    </row>
    <row r="20">
      <c r="A20" s="2" t="inlineStr">
        <is>
          <t>단위: 점(두 평가자 평균). t는 사후−사전 기준(양수=증가). SPSS는 보통 사전−사후로 계산해 부호가 반대입니다.</t>
        </is>
      </c>
    </row>
    <row r="22">
      <c r="A22" s="71" t="inlineStr">
        <is>
          <t>C. 체중 집단별 사전·사후 (kg) — A와 같은 대상자, 상대 VO2max 해석용</t>
        </is>
      </c>
    </row>
    <row r="23" ht="32" customHeight="1">
      <c r="A23" s="14" t="inlineStr">
        <is>
          <t>집단</t>
        </is>
      </c>
      <c r="B23" s="14" t="inlineStr">
        <is>
          <t>n</t>
        </is>
      </c>
      <c r="C23" s="14" t="inlineStr">
        <is>
          <t>사전 M</t>
        </is>
      </c>
      <c r="D23" s="14" t="inlineStr">
        <is>
          <t>사전 SD</t>
        </is>
      </c>
      <c r="E23" s="14" t="inlineStr">
        <is>
          <t>사후 M</t>
        </is>
      </c>
      <c r="F23" s="14" t="inlineStr">
        <is>
          <t>사후 SD</t>
        </is>
      </c>
      <c r="G23" s="14" t="inlineStr">
        <is>
          <t>변화 M
(사후−사전)</t>
        </is>
      </c>
      <c r="H23" s="14" t="inlineStr">
        <is>
          <t>변화 SD</t>
        </is>
      </c>
      <c r="I23" s="14" t="inlineStr">
        <is>
          <t>대응 t
(사후−사전)</t>
        </is>
      </c>
      <c r="J23" s="14" t="inlineStr">
        <is>
          <t>df</t>
        </is>
      </c>
      <c r="K23" s="14" t="inlineStr">
        <is>
          <t>p (양측)</t>
        </is>
      </c>
      <c r="L23" s="14" t="inlineStr">
        <is>
          <t>변화 95% CI
하한</t>
        </is>
      </c>
      <c r="M23" s="14" t="inlineStr">
        <is>
          <t>변화 95% CI
상한</t>
        </is>
      </c>
      <c r="N23" s="14" t="inlineStr">
        <is>
          <t>효과크기 dz</t>
        </is>
      </c>
    </row>
    <row r="24">
      <c r="A24" s="72" t="inlineStr">
        <is>
          <t>실험군</t>
        </is>
      </c>
      <c r="B24" s="73">
        <f>SUMPRODUCT((grp=1)*(inc=1)*ISNUMBER(d_wt)*ISNUMBER(d_vo2))</f>
        <v/>
      </c>
      <c r="C24" s="74">
        <f t="array" ref="C24">IF(B24&lt;1,"",AVERAGE(IF((grp=1)*(inc=1)*ISNUMBER(d_wt)*ISNUMBER(d_vo2),wt_pre)))</f>
        <v/>
      </c>
      <c r="D24" s="74">
        <f t="array" ref="D24">IF(B24&lt;2,"",STDEV(IF((grp=1)*(inc=1)*ISNUMBER(d_wt)*ISNUMBER(d_vo2),wt_pre)))</f>
        <v/>
      </c>
      <c r="E24" s="74">
        <f t="array" ref="E24">IF(B24&lt;1,"",AVERAGE(IF((grp=1)*(inc=1)*ISNUMBER(d_wt)*ISNUMBER(d_vo2),wt_post)))</f>
        <v/>
      </c>
      <c r="F24" s="74">
        <f t="array" ref="F24">IF(B24&lt;2,"",STDEV(IF((grp=1)*(inc=1)*ISNUMBER(d_wt)*ISNUMBER(d_vo2),wt_post)))</f>
        <v/>
      </c>
      <c r="G24" s="74">
        <f t="array" ref="G24">IF(B24&lt;1,"",AVERAGE(IF((grp=1)*(inc=1)*ISNUMBER(d_wt)*ISNUMBER(d_vo2),d_wt)))</f>
        <v/>
      </c>
      <c r="H24" s="74">
        <f t="array" ref="H24">IF(B24&lt;2,"",STDEV(IF((grp=1)*(inc=1)*ISNUMBER(d_wt)*ISNUMBER(d_vo2),d_wt)))</f>
        <v/>
      </c>
      <c r="I24" s="75">
        <f>IF(OR(B24&lt;2,H24=""),"",IF(ROUND(H24,10)=0,"",G24/(H24/SQRT(B24))))</f>
        <v/>
      </c>
      <c r="J24" s="73">
        <f>IF(B24&lt;2,"",B24-1)</f>
        <v/>
      </c>
      <c r="K24" s="76">
        <f>IF(I24="","",TDIST(ABS(I24),J24,2))</f>
        <v/>
      </c>
      <c r="L24" s="74">
        <f>IF(I24="","",G24-TINV(0.05,J24)*H24/SQRT(B24))</f>
        <v/>
      </c>
      <c r="M24" s="74">
        <f>IF(I24="","",G24+TINV(0.05,J24)*H24/SQRT(B24))</f>
        <v/>
      </c>
      <c r="N24" s="74">
        <f>IF(I24="","",G24/H24)</f>
        <v/>
      </c>
    </row>
    <row r="25">
      <c r="A25" s="72" t="inlineStr">
        <is>
          <t>통제군</t>
        </is>
      </c>
      <c r="B25" s="73">
        <f>SUMPRODUCT((grp=2)*(inc=1)*ISNUMBER(d_wt)*ISNUMBER(d_vo2))</f>
        <v/>
      </c>
      <c r="C25" s="74">
        <f t="array" ref="C25">IF(B25&lt;1,"",AVERAGE(IF((grp=2)*(inc=1)*ISNUMBER(d_wt)*ISNUMBER(d_vo2),wt_pre)))</f>
        <v/>
      </c>
      <c r="D25" s="74">
        <f t="array" ref="D25">IF(B25&lt;2,"",STDEV(IF((grp=2)*(inc=1)*ISNUMBER(d_wt)*ISNUMBER(d_vo2),wt_pre)))</f>
        <v/>
      </c>
      <c r="E25" s="74">
        <f t="array" ref="E25">IF(B25&lt;1,"",AVERAGE(IF((grp=2)*(inc=1)*ISNUMBER(d_wt)*ISNUMBER(d_vo2),wt_post)))</f>
        <v/>
      </c>
      <c r="F25" s="74">
        <f t="array" ref="F25">IF(B25&lt;2,"",STDEV(IF((grp=2)*(inc=1)*ISNUMBER(d_wt)*ISNUMBER(d_vo2),wt_post)))</f>
        <v/>
      </c>
      <c r="G25" s="74">
        <f t="array" ref="G25">IF(B25&lt;1,"",AVERAGE(IF((grp=2)*(inc=1)*ISNUMBER(d_wt)*ISNUMBER(d_vo2),d_wt)))</f>
        <v/>
      </c>
      <c r="H25" s="74">
        <f t="array" ref="H25">IF(B25&lt;2,"",STDEV(IF((grp=2)*(inc=1)*ISNUMBER(d_wt)*ISNUMBER(d_vo2),d_wt)))</f>
        <v/>
      </c>
      <c r="I25" s="75">
        <f>IF(OR(B25&lt;2,H25=""),"",IF(ROUND(H25,10)=0,"",G25/(H25/SQRT(B25))))</f>
        <v/>
      </c>
      <c r="J25" s="73">
        <f>IF(B25&lt;2,"",B25-1)</f>
        <v/>
      </c>
      <c r="K25" s="76">
        <f>IF(I25="","",TDIST(ABS(I25),J25,2))</f>
        <v/>
      </c>
      <c r="L25" s="74">
        <f>IF(I25="","",G25-TINV(0.05,J25)*H25/SQRT(B25))</f>
        <v/>
      </c>
      <c r="M25" s="74">
        <f>IF(I25="","",G25+TINV(0.05,J25)*H25/SQRT(B25))</f>
        <v/>
      </c>
      <c r="N25" s="74">
        <f>IF(I25="","",G25/H25)</f>
        <v/>
      </c>
    </row>
    <row r="26">
      <c r="A26" s="2" t="inlineStr">
        <is>
          <t>단위: kg. t는 사후−사전 기준(양수=증가). SPSS는 보통 사전−사후로 계산해 부호가 반대입니다.</t>
        </is>
      </c>
    </row>
    <row r="28">
      <c r="A28" s="71" t="inlineStr">
        <is>
          <t>D. 집단×시기 상호작용: VO2max (변화량의 집단 비교)</t>
        </is>
      </c>
    </row>
    <row r="29" ht="32" customHeight="1">
      <c r="A29" s="14" t="inlineStr">
        <is>
          <t>비교</t>
        </is>
      </c>
      <c r="B29" s="14" t="inlineStr">
        <is>
          <t>n 실험</t>
        </is>
      </c>
      <c r="C29" s="14" t="inlineStr">
        <is>
          <t>n 통제</t>
        </is>
      </c>
      <c r="D29" s="14" t="inlineStr">
        <is>
          <t>변화 M 차
(실험−통제)</t>
        </is>
      </c>
      <c r="E29" s="14" t="inlineStr">
        <is>
          <t>합동 SD</t>
        </is>
      </c>
      <c r="F29" s="14" t="inlineStr">
        <is>
          <t>독립 t</t>
        </is>
      </c>
      <c r="G29" s="14" t="inlineStr">
        <is>
          <t>df</t>
        </is>
      </c>
      <c r="H29" s="14" t="inlineStr">
        <is>
          <t>F(1, df)</t>
        </is>
      </c>
      <c r="I29" s="14" t="inlineStr">
        <is>
          <t>p</t>
        </is>
      </c>
      <c r="J29" s="14" t="inlineStr">
        <is>
          <t>부분 η²</t>
        </is>
      </c>
      <c r="K29" s="14" t="inlineStr">
        <is>
          <t>차이 95% CI
하한</t>
        </is>
      </c>
      <c r="L29" s="14" t="inlineStr">
        <is>
          <t>차이 95% CI
상한</t>
        </is>
      </c>
    </row>
    <row r="30">
      <c r="A30" s="72" t="inlineStr">
        <is>
          <t>실험 vs 통제</t>
        </is>
      </c>
      <c r="B30" s="73">
        <f>B6</f>
        <v/>
      </c>
      <c r="C30" s="73">
        <f>B7</f>
        <v/>
      </c>
      <c r="D30" s="74">
        <f>IF(OR(B30&lt;2,C30&lt;2),"",G6-G7)</f>
        <v/>
      </c>
      <c r="E30" s="74">
        <f>IF(D30="","",SQRT(((B30-1)*H6^2+(C30-1)*H7^2)/(B30+C30-2)))</f>
        <v/>
      </c>
      <c r="F30" s="75">
        <f>IF(D30="","",IF(ROUND(E30,10)=0,"",D30/(E30*SQRT(1/B30+1/C30))))</f>
        <v/>
      </c>
      <c r="G30" s="73">
        <f>IF(F30="","",B30+C30-2)</f>
        <v/>
      </c>
      <c r="H30" s="75">
        <f>IF(F30="","",F30^2)</f>
        <v/>
      </c>
      <c r="I30" s="76">
        <f>IF(F30="","",TDIST(ABS(F30),G30,2))</f>
        <v/>
      </c>
      <c r="J30" s="75">
        <f>IF(F30="","",H30/(H30+G30))</f>
        <v/>
      </c>
      <c r="K30" s="74">
        <f>IF(F30="","",D30-TINV(0.05,G30)*E30*SQRT(1/B30+1/C30))</f>
        <v/>
      </c>
      <c r="L30" s="74">
        <f>IF(F30="","",D30+TINV(0.05,G30)*E30*SQRT(1/B30+1/C30))</f>
        <v/>
      </c>
    </row>
    <row r="32">
      <c r="A32" s="71" t="inlineStr">
        <is>
          <t>E. 집단×시기 상호작용: FMS 총점</t>
        </is>
      </c>
    </row>
    <row r="33" ht="32" customHeight="1">
      <c r="A33" s="14" t="inlineStr">
        <is>
          <t>비교</t>
        </is>
      </c>
      <c r="B33" s="14" t="inlineStr">
        <is>
          <t>n 실험</t>
        </is>
      </c>
      <c r="C33" s="14" t="inlineStr">
        <is>
          <t>n 통제</t>
        </is>
      </c>
      <c r="D33" s="14" t="inlineStr">
        <is>
          <t>변화 M 차
(실험−통제)</t>
        </is>
      </c>
      <c r="E33" s="14" t="inlineStr">
        <is>
          <t>합동 SD</t>
        </is>
      </c>
      <c r="F33" s="14" t="inlineStr">
        <is>
          <t>독립 t</t>
        </is>
      </c>
      <c r="G33" s="14" t="inlineStr">
        <is>
          <t>df</t>
        </is>
      </c>
      <c r="H33" s="14" t="inlineStr">
        <is>
          <t>F(1, df)</t>
        </is>
      </c>
      <c r="I33" s="14" t="inlineStr">
        <is>
          <t>p</t>
        </is>
      </c>
      <c r="J33" s="14" t="inlineStr">
        <is>
          <t>부분 η²</t>
        </is>
      </c>
      <c r="K33" s="14" t="inlineStr">
        <is>
          <t>차이 95% CI
하한</t>
        </is>
      </c>
      <c r="L33" s="14" t="inlineStr">
        <is>
          <t>차이 95% CI
상한</t>
        </is>
      </c>
    </row>
    <row r="34">
      <c r="A34" s="72" t="inlineStr">
        <is>
          <t>실험 vs 통제</t>
        </is>
      </c>
      <c r="B34" s="73">
        <f>B12</f>
        <v/>
      </c>
      <c r="C34" s="73">
        <f>B13</f>
        <v/>
      </c>
      <c r="D34" s="74">
        <f>IF(OR(B34&lt;2,C34&lt;2),"",G12-G13)</f>
        <v/>
      </c>
      <c r="E34" s="74">
        <f>IF(D34="","",SQRT(((B34-1)*H12^2+(C34-1)*H13^2)/(B34+C34-2)))</f>
        <v/>
      </c>
      <c r="F34" s="75">
        <f>IF(D34="","",IF(ROUND(E34,10)=0,"",D34/(E34*SQRT(1/B34+1/C34))))</f>
        <v/>
      </c>
      <c r="G34" s="73">
        <f>IF(F34="","",B34+C34-2)</f>
        <v/>
      </c>
      <c r="H34" s="75">
        <f>IF(F34="","",F34^2)</f>
        <v/>
      </c>
      <c r="I34" s="76">
        <f>IF(F34="","",TDIST(ABS(F34),G34,2))</f>
        <v/>
      </c>
      <c r="J34" s="75">
        <f>IF(F34="","",H34/(H34+G34))</f>
        <v/>
      </c>
      <c r="K34" s="74">
        <f>IF(F34="","",D34-TINV(0.05,G34)*E34*SQRT(1/B34+1/C34))</f>
        <v/>
      </c>
      <c r="L34" s="74">
        <f>IF(F34="","",D34+TINV(0.05,G34)*E34*SQRT(1/B34+1/C34))</f>
        <v/>
      </c>
    </row>
    <row r="36">
      <c r="A36" s="71" t="inlineStr">
        <is>
          <t>E-2. 집단×시기 상호작용: FMS 두 평가자 평균 총점</t>
        </is>
      </c>
    </row>
    <row r="37" ht="32" customHeight="1">
      <c r="A37" s="14" t="inlineStr">
        <is>
          <t>비교</t>
        </is>
      </c>
      <c r="B37" s="14" t="inlineStr">
        <is>
          <t>n 실험</t>
        </is>
      </c>
      <c r="C37" s="14" t="inlineStr">
        <is>
          <t>n 통제</t>
        </is>
      </c>
      <c r="D37" s="14" t="inlineStr">
        <is>
          <t>변화 M 차
(실험−통제)</t>
        </is>
      </c>
      <c r="E37" s="14" t="inlineStr">
        <is>
          <t>합동 SD</t>
        </is>
      </c>
      <c r="F37" s="14" t="inlineStr">
        <is>
          <t>독립 t</t>
        </is>
      </c>
      <c r="G37" s="14" t="inlineStr">
        <is>
          <t>df</t>
        </is>
      </c>
      <c r="H37" s="14" t="inlineStr">
        <is>
          <t>F(1, df)</t>
        </is>
      </c>
      <c r="I37" s="14" t="inlineStr">
        <is>
          <t>p</t>
        </is>
      </c>
      <c r="J37" s="14" t="inlineStr">
        <is>
          <t>부분 η²</t>
        </is>
      </c>
      <c r="K37" s="14" t="inlineStr">
        <is>
          <t>차이 95% CI
하한</t>
        </is>
      </c>
      <c r="L37" s="14" t="inlineStr">
        <is>
          <t>차이 95% CI
상한</t>
        </is>
      </c>
    </row>
    <row r="38">
      <c r="A38" s="72" t="inlineStr">
        <is>
          <t>실험 vs 통제</t>
        </is>
      </c>
      <c r="B38" s="73">
        <f>B18</f>
        <v/>
      </c>
      <c r="C38" s="73">
        <f>B19</f>
        <v/>
      </c>
      <c r="D38" s="74">
        <f>IF(OR(B38&lt;2,C38&lt;2),"",G18-G19)</f>
        <v/>
      </c>
      <c r="E38" s="74">
        <f>IF(D38="","",SQRT(((B38-1)*H18^2+(C38-1)*H19^2)/(B38+C38-2)))</f>
        <v/>
      </c>
      <c r="F38" s="75">
        <f>IF(D38="","",IF(ROUND(E38,10)=0,"",D38/(E38*SQRT(1/B38+1/C38))))</f>
        <v/>
      </c>
      <c r="G38" s="73">
        <f>IF(F38="","",B38+C38-2)</f>
        <v/>
      </c>
      <c r="H38" s="75">
        <f>IF(F38="","",F38^2)</f>
        <v/>
      </c>
      <c r="I38" s="76">
        <f>IF(F38="","",TDIST(ABS(F38),G38,2))</f>
        <v/>
      </c>
      <c r="J38" s="75">
        <f>IF(F38="","",H38/(H38+G38))</f>
        <v/>
      </c>
      <c r="K38" s="74">
        <f>IF(F38="","",D38-TINV(0.05,G38)*E38*SQRT(1/B38+1/C38))</f>
        <v/>
      </c>
      <c r="L38" s="74">
        <f>IF(F38="","",D38+TINV(0.05,G38)*E38*SQRT(1/B38+1/C38))</f>
        <v/>
      </c>
    </row>
    <row r="40">
      <c r="A40" s="71" t="inlineStr">
        <is>
          <t>F. 사전 동질성: VO2max 사전값</t>
        </is>
      </c>
    </row>
    <row r="41" ht="32" customHeight="1">
      <c r="A41" s="14" t="inlineStr">
        <is>
          <t>비교</t>
        </is>
      </c>
      <c r="B41" s="14" t="inlineStr">
        <is>
          <t>n 실험</t>
        </is>
      </c>
      <c r="C41" s="14" t="inlineStr">
        <is>
          <t>n 통제</t>
        </is>
      </c>
      <c r="D41" s="14" t="inlineStr">
        <is>
          <t>사전 M 차
(실험−통제)</t>
        </is>
      </c>
      <c r="E41" s="14" t="inlineStr">
        <is>
          <t>합동 SD</t>
        </is>
      </c>
      <c r="F41" s="14" t="inlineStr">
        <is>
          <t>독립 t</t>
        </is>
      </c>
      <c r="G41" s="14" t="inlineStr">
        <is>
          <t>df</t>
        </is>
      </c>
      <c r="H41" s="14" t="inlineStr">
        <is>
          <t>F(1, df)</t>
        </is>
      </c>
      <c r="I41" s="14" t="inlineStr">
        <is>
          <t>p</t>
        </is>
      </c>
      <c r="J41" s="14" t="inlineStr">
        <is>
          <t>부분 η²</t>
        </is>
      </c>
      <c r="K41" s="14" t="inlineStr">
        <is>
          <t>차이 95% CI
하한</t>
        </is>
      </c>
      <c r="L41" s="14" t="inlineStr">
        <is>
          <t>차이 95% CI
상한</t>
        </is>
      </c>
    </row>
    <row r="42">
      <c r="A42" s="72" t="inlineStr">
        <is>
          <t>실험 vs 통제</t>
        </is>
      </c>
      <c r="B42" s="73">
        <f>B6</f>
        <v/>
      </c>
      <c r="C42" s="73">
        <f>B7</f>
        <v/>
      </c>
      <c r="D42" s="74">
        <f>IF(OR(B42&lt;2,C42&lt;2),"",C6-C7)</f>
        <v/>
      </c>
      <c r="E42" s="74">
        <f>IF(D42="","",SQRT(((B42-1)*D6^2+(C42-1)*D7^2)/(B42+C42-2)))</f>
        <v/>
      </c>
      <c r="F42" s="75">
        <f>IF(D42="","",IF(ROUND(E42,10)=0,"",D42/(E42*SQRT(1/B42+1/C42))))</f>
        <v/>
      </c>
      <c r="G42" s="73">
        <f>IF(F42="","",B42+C42-2)</f>
        <v/>
      </c>
      <c r="H42" s="75">
        <f>IF(F42="","",F42^2)</f>
        <v/>
      </c>
      <c r="I42" s="76">
        <f>IF(F42="","",TDIST(ABS(F42),G42,2))</f>
        <v/>
      </c>
      <c r="J42" s="75">
        <f>IF(F42="","",H42/(H42+G42))</f>
        <v/>
      </c>
      <c r="K42" s="74">
        <f>IF(F42="","",D42-TINV(0.05,G42)*E42*SQRT(1/B42+1/C42))</f>
        <v/>
      </c>
      <c r="L42" s="74">
        <f>IF(F42="","",D42+TINV(0.05,G42)*E42*SQRT(1/B42+1/C42))</f>
        <v/>
      </c>
    </row>
    <row r="43">
      <c r="A43" s="2" t="inlineStr">
        <is>
          <t>사전 동질성은 독립 t와 p, 효과크기만 보세요(F·η² 열은 해당 없음). p &gt; .05가 '동질성 입증'은 아닙니다.</t>
        </is>
      </c>
    </row>
    <row r="44">
      <c r="A44" s="71" t="inlineStr">
        <is>
          <t>G. 사전 동질성: FMS 사전 총점</t>
        </is>
      </c>
    </row>
    <row r="45" ht="32" customHeight="1">
      <c r="A45" s="14" t="inlineStr">
        <is>
          <t>비교</t>
        </is>
      </c>
      <c r="B45" s="14" t="inlineStr">
        <is>
          <t>n 실험</t>
        </is>
      </c>
      <c r="C45" s="14" t="inlineStr">
        <is>
          <t>n 통제</t>
        </is>
      </c>
      <c r="D45" s="14" t="inlineStr">
        <is>
          <t>사전 M 차
(실험−통제)</t>
        </is>
      </c>
      <c r="E45" s="14" t="inlineStr">
        <is>
          <t>합동 SD</t>
        </is>
      </c>
      <c r="F45" s="14" t="inlineStr">
        <is>
          <t>독립 t</t>
        </is>
      </c>
      <c r="G45" s="14" t="inlineStr">
        <is>
          <t>df</t>
        </is>
      </c>
      <c r="H45" s="14" t="inlineStr">
        <is>
          <t>F(1, df)</t>
        </is>
      </c>
      <c r="I45" s="14" t="inlineStr">
        <is>
          <t>p</t>
        </is>
      </c>
      <c r="J45" s="14" t="inlineStr">
        <is>
          <t>부분 η²</t>
        </is>
      </c>
      <c r="K45" s="14" t="inlineStr">
        <is>
          <t>차이 95% CI
하한</t>
        </is>
      </c>
      <c r="L45" s="14" t="inlineStr">
        <is>
          <t>차이 95% CI
상한</t>
        </is>
      </c>
    </row>
    <row r="46">
      <c r="A46" s="72" t="inlineStr">
        <is>
          <t>실험 vs 통제</t>
        </is>
      </c>
      <c r="B46" s="73">
        <f>B12</f>
        <v/>
      </c>
      <c r="C46" s="73">
        <f>B13</f>
        <v/>
      </c>
      <c r="D46" s="74">
        <f>IF(OR(B46&lt;2,C46&lt;2),"",C12-C13)</f>
        <v/>
      </c>
      <c r="E46" s="74">
        <f>IF(D46="","",SQRT(((B46-1)*D12^2+(C46-1)*D13^2)/(B46+C46-2)))</f>
        <v/>
      </c>
      <c r="F46" s="75">
        <f>IF(D46="","",IF(ROUND(E46,10)=0,"",D46/(E46*SQRT(1/B46+1/C46))))</f>
        <v/>
      </c>
      <c r="G46" s="73">
        <f>IF(F46="","",B46+C46-2)</f>
        <v/>
      </c>
      <c r="H46" s="75">
        <f>IF(F46="","",F46^2)</f>
        <v/>
      </c>
      <c r="I46" s="76">
        <f>IF(F46="","",TDIST(ABS(F46),G46,2))</f>
        <v/>
      </c>
      <c r="J46" s="75">
        <f>IF(F46="","",H46/(H46+G46))</f>
        <v/>
      </c>
      <c r="K46" s="74">
        <f>IF(F46="","",D46-TINV(0.05,G46)*E46*SQRT(1/B46+1/C46))</f>
        <v/>
      </c>
      <c r="L46" s="74">
        <f>IF(F46="","",D46+TINV(0.05,G46)*E46*SQRT(1/B46+1/C46))</f>
        <v/>
      </c>
    </row>
    <row r="47">
      <c r="A47" s="2" t="inlineStr">
        <is>
          <t>사전 동질성은 독립 t와 p, 효과크기만 보세요(F·η² 열은 해당 없음). p &gt; .05가 '동질성 입증'은 아닙니다.</t>
        </is>
      </c>
    </row>
    <row r="49">
      <c r="A49" s="71" t="inlineStr">
        <is>
          <t>H. 포스터 보고값과 입력 자료 재계산값의 차이 (기록용)</t>
        </is>
      </c>
    </row>
    <row r="50" ht="58" customHeight="1">
      <c r="A50" s="6" t="inlineStr">
        <is>
          <t>'다름'은 고칠 대상이 아니라 그 자체로 보고할 결과입니다. 원 기록지·측정 출력물의 값을 그대로 입력하고, 포스터 값에 맞추려고 원자료를 고치거나 대상자를 제외(분석포함=0)하지 마세요. 입력 실수를 고쳤다면 '수정기록' 시트에 남깁니다. 포스터 값 출처: 사용자 제공 원고(3차) 표 3·4. t는 SPSS 관례(사전−사후)로 바꿔 부호까지 비교합니다.</t>
        </is>
      </c>
    </row>
    <row r="51" ht="32" customHeight="1">
      <c r="A51" s="14" t="inlineStr">
        <is>
          <t>항목</t>
        </is>
      </c>
      <c r="B51" s="14" t="inlineStr">
        <is>
          <t>포스터 값</t>
        </is>
      </c>
      <c r="C51" s="14" t="inlineStr">
        <is>
          <t>입력 자료
재계산</t>
        </is>
      </c>
      <c r="D51" s="14" t="inlineStr">
        <is>
          <t>차이</t>
        </is>
      </c>
      <c r="E51" s="14" t="inlineStr">
        <is>
          <t>판정</t>
        </is>
      </c>
      <c r="F51" s="14" t="inlineStr">
        <is>
          <t>t 부호</t>
        </is>
      </c>
      <c r="G51" s="14" t="inlineStr">
        <is>
          <t>두 평가자 평균
기준 재계산</t>
        </is>
      </c>
      <c r="H51" s="14" t="inlineStr">
        <is>
          <t>차이</t>
        </is>
      </c>
      <c r="I51" s="14" t="inlineStr">
        <is>
          <t>판정</t>
        </is>
      </c>
    </row>
    <row r="52">
      <c r="A52" s="77" t="inlineStr">
        <is>
          <t>VO2max 실험군 n</t>
        </is>
      </c>
      <c r="B52" s="78" t="n">
        <v>13</v>
      </c>
      <c r="C52" s="79">
        <f>IF(ISNUMBER(B6),B6,"")</f>
        <v/>
      </c>
      <c r="D52" s="79">
        <f>IF(ISNUMBER(C52),C52-B52,"")</f>
        <v/>
      </c>
      <c r="E52" s="80">
        <f>IF(NOT(ISNUMBER(C52)),"",IF(C52=0,"자료 입력 전",IF(C52=B52,"같음","다름")))</f>
        <v/>
      </c>
      <c r="F52" s="80" t="n"/>
      <c r="G52" s="79" t="n"/>
      <c r="H52" s="79" t="n"/>
      <c r="I52" s="80" t="n"/>
    </row>
    <row r="53">
      <c r="A53" s="77" t="inlineStr">
        <is>
          <t>VO2max 통제군 n</t>
        </is>
      </c>
      <c r="B53" s="78" t="n">
        <v>12</v>
      </c>
      <c r="C53" s="79">
        <f>IF(ISNUMBER(B7),B7,"")</f>
        <v/>
      </c>
      <c r="D53" s="79">
        <f>IF(ISNUMBER(C53),C53-B53,"")</f>
        <v/>
      </c>
      <c r="E53" s="80">
        <f>IF(NOT(ISNUMBER(C53)),"",IF(C53=0,"자료 입력 전",IF(C53=B53,"같음","다름")))</f>
        <v/>
      </c>
      <c r="F53" s="80" t="n"/>
      <c r="G53" s="79" t="n"/>
      <c r="H53" s="79" t="n"/>
      <c r="I53" s="80" t="n"/>
    </row>
    <row r="54">
      <c r="A54" s="77" t="inlineStr">
        <is>
          <t>VO2max 실험군 사전 M</t>
        </is>
      </c>
      <c r="B54" s="81" t="n">
        <v>48.31</v>
      </c>
      <c r="C54" s="82">
        <f>IF(ISNUMBER(C6),C6,"")</f>
        <v/>
      </c>
      <c r="D54" s="82">
        <f>IF(ISNUMBER(C54),C54-B54,"")</f>
        <v/>
      </c>
      <c r="E54" s="80">
        <f>IF(NOT(ISNUMBER(C54)),IF(B6=0,"자료 입력 전","계산 불가(n&lt;2 또는 SD=0)"),IF(ROUND(C54,2)=ROUND(B54,2),"같음",IF(ABS(C54-B54)&lt;=1.5*10^(-2),"끝자리 1 차이","다름")))</f>
        <v/>
      </c>
      <c r="F54" s="80" t="n"/>
      <c r="G54" s="82" t="n"/>
      <c r="H54" s="82" t="n"/>
      <c r="I54" s="80" t="n"/>
    </row>
    <row r="55">
      <c r="A55" s="77" t="inlineStr">
        <is>
          <t>VO2max 실험군 사전 SD</t>
        </is>
      </c>
      <c r="B55" s="81" t="n">
        <v>4.12</v>
      </c>
      <c r="C55" s="82">
        <f>IF(ISNUMBER(D6),D6,"")</f>
        <v/>
      </c>
      <c r="D55" s="82">
        <f>IF(ISNUMBER(C55),C55-B55,"")</f>
        <v/>
      </c>
      <c r="E55" s="80">
        <f>IF(NOT(ISNUMBER(C55)),IF(B6=0,"자료 입력 전","계산 불가(n&lt;2 또는 SD=0)"),IF(ROUND(C55,2)=ROUND(B55,2),"같음",IF(ABS(C55-B55)&lt;=1.5*10^(-2),"끝자리 1 차이","다름")))</f>
        <v/>
      </c>
      <c r="F55" s="80" t="n"/>
      <c r="G55" s="82" t="n"/>
      <c r="H55" s="82" t="n"/>
      <c r="I55" s="80" t="n"/>
    </row>
    <row r="56">
      <c r="A56" s="77" t="inlineStr">
        <is>
          <t>VO2max 실험군 사후 M</t>
        </is>
      </c>
      <c r="B56" s="81" t="n">
        <v>52.38</v>
      </c>
      <c r="C56" s="82">
        <f>IF(ISNUMBER(E6),E6,"")</f>
        <v/>
      </c>
      <c r="D56" s="82">
        <f>IF(ISNUMBER(C56),C56-B56,"")</f>
        <v/>
      </c>
      <c r="E56" s="80">
        <f>IF(NOT(ISNUMBER(C56)),IF(B6=0,"자료 입력 전","계산 불가(n&lt;2 또는 SD=0)"),IF(ROUND(C56,2)=ROUND(B56,2),"같음",IF(ABS(C56-B56)&lt;=1.5*10^(-2),"끝자리 1 차이","다름")))</f>
        <v/>
      </c>
      <c r="F56" s="80" t="n"/>
      <c r="G56" s="82" t="n"/>
      <c r="H56" s="82" t="n"/>
      <c r="I56" s="80" t="n"/>
    </row>
    <row r="57">
      <c r="A57" s="77" t="inlineStr">
        <is>
          <t>VO2max 실험군 사후 SD</t>
        </is>
      </c>
      <c r="B57" s="81" t="n">
        <v>4.05</v>
      </c>
      <c r="C57" s="82">
        <f>IF(ISNUMBER(F6),F6,"")</f>
        <v/>
      </c>
      <c r="D57" s="82">
        <f>IF(ISNUMBER(C57),C57-B57,"")</f>
        <v/>
      </c>
      <c r="E57" s="80">
        <f>IF(NOT(ISNUMBER(C57)),IF(B6=0,"자료 입력 전","계산 불가(n&lt;2 또는 SD=0)"),IF(ROUND(C57,2)=ROUND(B57,2),"같음",IF(ABS(C57-B57)&lt;=1.5*10^(-2),"끝자리 1 차이","다름")))</f>
        <v/>
      </c>
      <c r="F57" s="80" t="n"/>
      <c r="G57" s="82" t="n"/>
      <c r="H57" s="82" t="n"/>
      <c r="I57" s="80" t="n"/>
    </row>
    <row r="58">
      <c r="A58" s="77" t="inlineStr">
        <is>
          <t>VO2max 실험군 t</t>
        </is>
      </c>
      <c r="B58" s="83" t="n">
        <v>-6.184</v>
      </c>
      <c r="C58" s="84">
        <f>IF(ISNUMBER(I6),-I6,"")</f>
        <v/>
      </c>
      <c r="D58" s="84">
        <f>IF(ISNUMBER(C58),C58-B58,"")</f>
        <v/>
      </c>
      <c r="E58" s="80">
        <f>IF(NOT(ISNUMBER(C58)),IF(B6=0,"자료 입력 전","계산 불가(n&lt;2 또는 SD=0)"),IF(ROUND(C58,3)=ROUND(B58,3),"같음",IF(ABS(C58-B58)&lt;=1.5*10^(-3),"끝자리 1 차이","다름")))</f>
        <v/>
      </c>
      <c r="F58" s="80">
        <f>IF(ISNUMBER(C58),IF(SIGN(C58)=SIGN(B58),"같음","반대"),"")</f>
        <v/>
      </c>
      <c r="G58" s="84" t="n"/>
      <c r="H58" s="84" t="n"/>
      <c r="I58" s="80" t="n"/>
    </row>
    <row r="59">
      <c r="A59" s="77" t="inlineStr">
        <is>
          <t>VO2max 통제군 t</t>
        </is>
      </c>
      <c r="B59" s="83" t="n">
        <v>-1.207</v>
      </c>
      <c r="C59" s="84">
        <f>IF(ISNUMBER(I7),-I7,"")</f>
        <v/>
      </c>
      <c r="D59" s="84">
        <f>IF(ISNUMBER(C59),C59-B59,"")</f>
        <v/>
      </c>
      <c r="E59" s="80">
        <f>IF(NOT(ISNUMBER(C59)),IF(B7=0,"자료 입력 전","계산 불가(n&lt;2 또는 SD=0)"),IF(ROUND(C59,3)=ROUND(B59,3),"같음",IF(ABS(C59-B59)&lt;=1.5*10^(-3),"끝자리 1 차이","다름")))</f>
        <v/>
      </c>
      <c r="F59" s="80">
        <f>IF(ISNUMBER(C59),IF(SIGN(C59)=SIGN(B59),"같음","반대"),"")</f>
        <v/>
      </c>
      <c r="G59" s="84" t="n"/>
      <c r="H59" s="84" t="n"/>
      <c r="I59" s="80" t="n"/>
    </row>
    <row r="60">
      <c r="A60" s="77" t="inlineStr">
        <is>
          <t>VO2max 통제군 p</t>
        </is>
      </c>
      <c r="B60" s="83" t="n">
        <v>0.253</v>
      </c>
      <c r="C60" s="84">
        <f>IF(ISNUMBER(K7),K7,"")</f>
        <v/>
      </c>
      <c r="D60" s="84">
        <f>IF(ISNUMBER(C60),C60-B60,"")</f>
        <v/>
      </c>
      <c r="E60" s="80">
        <f>IF(NOT(ISNUMBER(C60)),IF(B7=0,"자료 입력 전","계산 불가(n&lt;2 또는 SD=0)"),IF(ROUND(C60,3)=ROUND(B60,3),"같음",IF(ABS(C60-B60)&lt;=1.5*10^(-3),"끝자리 1 차이","다름")))</f>
        <v/>
      </c>
      <c r="F60" s="80" t="n"/>
      <c r="G60" s="84" t="n"/>
      <c r="H60" s="84" t="n"/>
      <c r="I60" s="80" t="n"/>
    </row>
    <row r="61">
      <c r="A61" s="77" t="inlineStr">
        <is>
          <t>VO2max 상호작용 F</t>
        </is>
      </c>
      <c r="B61" s="83" t="n">
        <v>18.742</v>
      </c>
      <c r="C61" s="84">
        <f>IF(ISNUMBER(H30),H30,"")</f>
        <v/>
      </c>
      <c r="D61" s="84">
        <f>IF(ISNUMBER(C61),C61-B61,"")</f>
        <v/>
      </c>
      <c r="E61" s="80">
        <f>IF(NOT(ISNUMBER(C61)),IF(B6=0,"자료 입력 전","계산 불가(n&lt;2 또는 SD=0)"),IF(ROUND(C61,3)=ROUND(B61,3),"같음",IF(ABS(C61-B61)&lt;=1.5*10^(-3),"끝자리 1 차이","다름")))</f>
        <v/>
      </c>
      <c r="F61" s="80" t="n"/>
      <c r="G61" s="84" t="n"/>
      <c r="H61" s="84" t="n"/>
      <c r="I61" s="80" t="n"/>
    </row>
    <row r="62">
      <c r="A62" s="77" t="inlineStr">
        <is>
          <t>FMS 실험군 n</t>
        </is>
      </c>
      <c r="B62" s="78" t="n">
        <v>13</v>
      </c>
      <c r="C62" s="79">
        <f>IF(ISNUMBER(B12),B12,"")</f>
        <v/>
      </c>
      <c r="D62" s="79">
        <f>IF(ISNUMBER(C62),C62-B62,"")</f>
        <v/>
      </c>
      <c r="E62" s="80">
        <f>IF(NOT(ISNUMBER(C62)),"",IF(C62=0,"자료 입력 전",IF(C62=B62,"같음","다름")))</f>
        <v/>
      </c>
      <c r="F62" s="80" t="n"/>
      <c r="G62" s="79">
        <f>IF(ISNUMBER(B18),B18,"")</f>
        <v/>
      </c>
      <c r="H62" s="79">
        <f>IF(ISNUMBER(G62),G62-B62,"")</f>
        <v/>
      </c>
      <c r="I62" s="80">
        <f>IF(NOT(ISNUMBER(G62)),"",IF(G62=0,"자료 입력 전",IF(G62=B62,"같음","다름")))</f>
        <v/>
      </c>
    </row>
    <row r="63">
      <c r="A63" s="77" t="inlineStr">
        <is>
          <t>FMS 통제군 n</t>
        </is>
      </c>
      <c r="B63" s="78" t="n">
        <v>12</v>
      </c>
      <c r="C63" s="79">
        <f>IF(ISNUMBER(B13),B13,"")</f>
        <v/>
      </c>
      <c r="D63" s="79">
        <f>IF(ISNUMBER(C63),C63-B63,"")</f>
        <v/>
      </c>
      <c r="E63" s="80">
        <f>IF(NOT(ISNUMBER(C63)),"",IF(C63=0,"자료 입력 전",IF(C63=B63,"같음","다름")))</f>
        <v/>
      </c>
      <c r="F63" s="80" t="n"/>
      <c r="G63" s="79">
        <f>IF(ISNUMBER(B19),B19,"")</f>
        <v/>
      </c>
      <c r="H63" s="79">
        <f>IF(ISNUMBER(G63),G63-B63,"")</f>
        <v/>
      </c>
      <c r="I63" s="80">
        <f>IF(NOT(ISNUMBER(G63)),"",IF(G63=0,"자료 입력 전",IF(G63=B63,"같음","다름")))</f>
        <v/>
      </c>
    </row>
    <row r="64">
      <c r="A64" s="77" t="inlineStr">
        <is>
          <t>FMS 실험군 사전 M</t>
        </is>
      </c>
      <c r="B64" s="81" t="n">
        <v>14.92</v>
      </c>
      <c r="C64" s="82">
        <f>IF(ISNUMBER(C12),C12,"")</f>
        <v/>
      </c>
      <c r="D64" s="82">
        <f>IF(ISNUMBER(C64),C64-B64,"")</f>
        <v/>
      </c>
      <c r="E64" s="80">
        <f>IF(NOT(ISNUMBER(C64)),IF(B12=0,"자료 입력 전","계산 불가(n&lt;2 또는 SD=0)"),IF(ROUND(C64,2)=ROUND(B64,2),"같음",IF(ABS(C64-B64)&lt;=1.5*10^(-2),"끝자리 1 차이","다름")))</f>
        <v/>
      </c>
      <c r="F64" s="80" t="n"/>
      <c r="G64" s="82">
        <f>IF(ISNUMBER(C18),C18,"")</f>
        <v/>
      </c>
      <c r="H64" s="82">
        <f>IF(ISNUMBER(G64),G64-B64,"")</f>
        <v/>
      </c>
      <c r="I64" s="80">
        <f>IF(NOT(ISNUMBER(G64)),IF(B18=0,"자료 입력 전","계산 불가(n&lt;2 또는 SD=0)"),IF(ROUND(G64,2)=ROUND(B64,2),"같음",IF(ABS(G64-B64)&lt;=1.5*10^(-2),"끝자리 1 차이","다름")))</f>
        <v/>
      </c>
    </row>
    <row r="65">
      <c r="A65" s="77" t="inlineStr">
        <is>
          <t>FMS 실험군 사전 SD</t>
        </is>
      </c>
      <c r="B65" s="81" t="n">
        <v>1.44</v>
      </c>
      <c r="C65" s="82">
        <f>IF(ISNUMBER(D12),D12,"")</f>
        <v/>
      </c>
      <c r="D65" s="82">
        <f>IF(ISNUMBER(C65),C65-B65,"")</f>
        <v/>
      </c>
      <c r="E65" s="80">
        <f>IF(NOT(ISNUMBER(C65)),IF(B12=0,"자료 입력 전","계산 불가(n&lt;2 또는 SD=0)"),IF(ROUND(C65,2)=ROUND(B65,2),"같음",IF(ABS(C65-B65)&lt;=1.5*10^(-2),"끝자리 1 차이","다름")))</f>
        <v/>
      </c>
      <c r="F65" s="80" t="n"/>
      <c r="G65" s="82">
        <f>IF(ISNUMBER(D18),D18,"")</f>
        <v/>
      </c>
      <c r="H65" s="82">
        <f>IF(ISNUMBER(G65),G65-B65,"")</f>
        <v/>
      </c>
      <c r="I65" s="80">
        <f>IF(NOT(ISNUMBER(G65)),IF(B18=0,"자료 입력 전","계산 불가(n&lt;2 또는 SD=0)"),IF(ROUND(G65,2)=ROUND(B65,2),"같음",IF(ABS(G65-B65)&lt;=1.5*10^(-2),"끝자리 1 차이","다름")))</f>
        <v/>
      </c>
    </row>
    <row r="66">
      <c r="A66" s="77" t="inlineStr">
        <is>
          <t>FMS 실험군 사후 M</t>
        </is>
      </c>
      <c r="B66" s="81" t="n">
        <v>17.08</v>
      </c>
      <c r="C66" s="82">
        <f>IF(ISNUMBER(E12),E12,"")</f>
        <v/>
      </c>
      <c r="D66" s="82">
        <f>IF(ISNUMBER(C66),C66-B66,"")</f>
        <v/>
      </c>
      <c r="E66" s="80">
        <f>IF(NOT(ISNUMBER(C66)),IF(B12=0,"자료 입력 전","계산 불가(n&lt;2 또는 SD=0)"),IF(ROUND(C66,2)=ROUND(B66,2),"같음",IF(ABS(C66-B66)&lt;=1.5*10^(-2),"끝자리 1 차이","다름")))</f>
        <v/>
      </c>
      <c r="F66" s="80" t="n"/>
      <c r="G66" s="82">
        <f>IF(ISNUMBER(E18),E18,"")</f>
        <v/>
      </c>
      <c r="H66" s="82">
        <f>IF(ISNUMBER(G66),G66-B66,"")</f>
        <v/>
      </c>
      <c r="I66" s="80">
        <f>IF(NOT(ISNUMBER(G66)),IF(B18=0,"자료 입력 전","계산 불가(n&lt;2 또는 SD=0)"),IF(ROUND(G66,2)=ROUND(B66,2),"같음",IF(ABS(G66-B66)&lt;=1.5*10^(-2),"끝자리 1 차이","다름")))</f>
        <v/>
      </c>
    </row>
    <row r="67">
      <c r="A67" s="77" t="inlineStr">
        <is>
          <t>FMS 실험군 사후 SD</t>
        </is>
      </c>
      <c r="B67" s="81" t="n">
        <v>1.32</v>
      </c>
      <c r="C67" s="82">
        <f>IF(ISNUMBER(F12),F12,"")</f>
        <v/>
      </c>
      <c r="D67" s="82">
        <f>IF(ISNUMBER(C67),C67-B67,"")</f>
        <v/>
      </c>
      <c r="E67" s="80">
        <f>IF(NOT(ISNUMBER(C67)),IF(B12=0,"자료 입력 전","계산 불가(n&lt;2 또는 SD=0)"),IF(ROUND(C67,2)=ROUND(B67,2),"같음",IF(ABS(C67-B67)&lt;=1.5*10^(-2),"끝자리 1 차이","다름")))</f>
        <v/>
      </c>
      <c r="F67" s="80" t="n"/>
      <c r="G67" s="82">
        <f>IF(ISNUMBER(F18),F18,"")</f>
        <v/>
      </c>
      <c r="H67" s="82">
        <f>IF(ISNUMBER(G67),G67-B67,"")</f>
        <v/>
      </c>
      <c r="I67" s="80">
        <f>IF(NOT(ISNUMBER(G67)),IF(B18=0,"자료 입력 전","계산 불가(n&lt;2 또는 SD=0)"),IF(ROUND(G67,2)=ROUND(B67,2),"같음",IF(ABS(G67-B67)&lt;=1.5*10^(-2),"끝자리 1 차이","다름")))</f>
        <v/>
      </c>
    </row>
    <row r="68">
      <c r="A68" s="77" t="inlineStr">
        <is>
          <t>FMS 실험군 t</t>
        </is>
      </c>
      <c r="B68" s="83" t="n">
        <v>-7.368</v>
      </c>
      <c r="C68" s="84">
        <f>IF(ISNUMBER(I12),-I12,"")</f>
        <v/>
      </c>
      <c r="D68" s="84">
        <f>IF(ISNUMBER(C68),C68-B68,"")</f>
        <v/>
      </c>
      <c r="E68" s="80">
        <f>IF(NOT(ISNUMBER(C68)),IF(B12=0,"자료 입력 전","계산 불가(n&lt;2 또는 SD=0)"),IF(ROUND(C68,3)=ROUND(B68,3),"같음",IF(ABS(C68-B68)&lt;=1.5*10^(-3),"끝자리 1 차이","다름")))</f>
        <v/>
      </c>
      <c r="F68" s="80">
        <f>IF(ISNUMBER(C68),IF(SIGN(C68)=SIGN(B68),"같음","반대"),"")</f>
        <v/>
      </c>
      <c r="G68" s="84">
        <f>IF(ISNUMBER(I18),-I18,"")</f>
        <v/>
      </c>
      <c r="H68" s="84">
        <f>IF(ISNUMBER(G68),G68-B68,"")</f>
        <v/>
      </c>
      <c r="I68" s="80">
        <f>IF(NOT(ISNUMBER(G68)),IF(B18=0,"자료 입력 전","계산 불가(n&lt;2 또는 SD=0)"),IF(ROUND(G68,3)=ROUND(B68,3),"같음",IF(ABS(G68-B68)&lt;=1.5*10^(-3),"끝자리 1 차이","다름")))</f>
        <v/>
      </c>
    </row>
    <row r="69">
      <c r="A69" s="77" t="inlineStr">
        <is>
          <t>FMS 통제군 t</t>
        </is>
      </c>
      <c r="B69" s="83" t="n">
        <v>-1.483</v>
      </c>
      <c r="C69" s="84">
        <f>IF(ISNUMBER(I13),-I13,"")</f>
        <v/>
      </c>
      <c r="D69" s="84">
        <f>IF(ISNUMBER(C69),C69-B69,"")</f>
        <v/>
      </c>
      <c r="E69" s="80">
        <f>IF(NOT(ISNUMBER(C69)),IF(B13=0,"자료 입력 전","계산 불가(n&lt;2 또는 SD=0)"),IF(ROUND(C69,3)=ROUND(B69,3),"같음",IF(ABS(C69-B69)&lt;=1.5*10^(-3),"끝자리 1 차이","다름")))</f>
        <v/>
      </c>
      <c r="F69" s="80">
        <f>IF(ISNUMBER(C69),IF(SIGN(C69)=SIGN(B69),"같음","반대"),"")</f>
        <v/>
      </c>
      <c r="G69" s="84">
        <f>IF(ISNUMBER(I19),-I19,"")</f>
        <v/>
      </c>
      <c r="H69" s="84">
        <f>IF(ISNUMBER(G69),G69-B69,"")</f>
        <v/>
      </c>
      <c r="I69" s="80">
        <f>IF(NOT(ISNUMBER(G69)),IF(B19=0,"자료 입력 전","계산 불가(n&lt;2 또는 SD=0)"),IF(ROUND(G69,3)=ROUND(B69,3),"같음",IF(ABS(G69-B69)&lt;=1.5*10^(-3),"끝자리 1 차이","다름")))</f>
        <v/>
      </c>
    </row>
    <row r="70">
      <c r="A70" s="77" t="inlineStr">
        <is>
          <t>FMS 통제군 p</t>
        </is>
      </c>
      <c r="B70" s="83" t="n">
        <v>0.166</v>
      </c>
      <c r="C70" s="84">
        <f>IF(ISNUMBER(K13),K13,"")</f>
        <v/>
      </c>
      <c r="D70" s="84">
        <f>IF(ISNUMBER(C70),C70-B70,"")</f>
        <v/>
      </c>
      <c r="E70" s="80">
        <f>IF(NOT(ISNUMBER(C70)),IF(B13=0,"자료 입력 전","계산 불가(n&lt;2 또는 SD=0)"),IF(ROUND(C70,3)=ROUND(B70,3),"같음",IF(ABS(C70-B70)&lt;=1.5*10^(-3),"끝자리 1 차이","다름")))</f>
        <v/>
      </c>
      <c r="F70" s="80" t="n"/>
      <c r="G70" s="84">
        <f>IF(ISNUMBER(K19),K19,"")</f>
        <v/>
      </c>
      <c r="H70" s="84">
        <f>IF(ISNUMBER(G70),G70-B70,"")</f>
        <v/>
      </c>
      <c r="I70" s="80">
        <f>IF(NOT(ISNUMBER(G70)),IF(B19=0,"자료 입력 전","계산 불가(n&lt;2 또는 SD=0)"),IF(ROUND(G70,3)=ROUND(B70,3),"같음",IF(ABS(G70-B70)&lt;=1.5*10^(-3),"끝자리 1 차이","다름")))</f>
        <v/>
      </c>
    </row>
    <row r="71">
      <c r="A71" s="77" t="inlineStr">
        <is>
          <t>FMS 상호작용 F</t>
        </is>
      </c>
      <c r="B71" s="83" t="n">
        <v>21.396</v>
      </c>
      <c r="C71" s="84">
        <f>IF(ISNUMBER(H34),H34,"")</f>
        <v/>
      </c>
      <c r="D71" s="84">
        <f>IF(ISNUMBER(C71),C71-B71,"")</f>
        <v/>
      </c>
      <c r="E71" s="80">
        <f>IF(NOT(ISNUMBER(C71)),IF(B12=0,"자료 입력 전","계산 불가(n&lt;2 또는 SD=0)"),IF(ROUND(C71,3)=ROUND(B71,3),"같음",IF(ABS(C71-B71)&lt;=1.5*10^(-3),"끝자리 1 차이","다름")))</f>
        <v/>
      </c>
      <c r="F71" s="80" t="n"/>
      <c r="G71" s="84">
        <f>IF(ISNUMBER(H38),H38,"")</f>
        <v/>
      </c>
      <c r="H71" s="84">
        <f>IF(ISNUMBER(G71),G71-B71,"")</f>
        <v/>
      </c>
      <c r="I71" s="80">
        <f>IF(NOT(ISNUMBER(G71)),IF(B18=0,"자료 입력 전","계산 불가(n&lt;2 또는 SD=0)"),IF(ROUND(G71,3)=ROUND(B71,3),"같음",IF(ABS(G71-B71)&lt;=1.5*10^(-3),"끝자리 1 차이","다름")))</f>
        <v/>
      </c>
    </row>
    <row r="72">
      <c r="A72" s="2" t="inlineStr">
        <is>
          <t>포스터 값(파란 글씨)은 원고에 옮겨진 숫자 그대로이며 수정하지 않습니다. FMS를 SPSS총점으로 대체한 값이 있으면(J 참고) FMS 비교는 원자료 검증이 아니라 기존 SPSS 값의 재집계입니다.</t>
        </is>
      </c>
    </row>
    <row r="74">
      <c r="A74" s="71" t="inlineStr">
        <is>
          <t>I. FMS 하위항목 점수 (B와 같은 대상자; SPSS총점만 있는 행은 하위항목 없음)</t>
        </is>
      </c>
    </row>
    <row r="75">
      <c r="A75" s="14" t="inlineStr">
        <is>
          <t>항목</t>
        </is>
      </c>
      <c r="B75" s="14" t="inlineStr">
        <is>
          <t>실험 n</t>
        </is>
      </c>
      <c r="C75" s="14" t="inlineStr">
        <is>
          <t>실험 사전 M</t>
        </is>
      </c>
      <c r="D75" s="14" t="inlineStr">
        <is>
          <t>실험 사후 M</t>
        </is>
      </c>
      <c r="E75" s="14" t="inlineStr">
        <is>
          <t>실험 변화</t>
        </is>
      </c>
      <c r="F75" s="14" t="inlineStr">
        <is>
          <t>통제 n</t>
        </is>
      </c>
      <c r="G75" s="14" t="inlineStr">
        <is>
          <t>통제 사전 M</t>
        </is>
      </c>
      <c r="H75" s="14" t="inlineStr">
        <is>
          <t>통제 사후 M</t>
        </is>
      </c>
      <c r="I75" s="14" t="inlineStr">
        <is>
          <t>통제 변화</t>
        </is>
      </c>
    </row>
    <row r="76">
      <c r="A76" s="85" t="inlineStr">
        <is>
          <t>DS (Deep Squat)</t>
        </is>
      </c>
      <c r="B76" s="73">
        <f>SUMPRODUCT((grp_f=1)*(inc_f=1)*ISNUMBER(d_fms)*ISNUMBER(DS_pre_s)*ISNUMBER(DS_post_s))</f>
        <v/>
      </c>
      <c r="C76" s="74">
        <f t="array" ref="C76">IF(B76&lt;1,"",AVERAGE(IF((grp_f=1)*(inc_f=1)*ISNUMBER(d_fms)*ISNUMBER(DS_pre_s)*ISNUMBER(DS_post_s),DS_pre_s)))</f>
        <v/>
      </c>
      <c r="D76" s="74">
        <f t="array" ref="D76">IF(B76&lt;1,"",AVERAGE(IF((grp_f=1)*(inc_f=1)*ISNUMBER(d_fms)*ISNUMBER(DS_pre_s)*ISNUMBER(DS_post_s),DS_post_s)))</f>
        <v/>
      </c>
      <c r="E76" s="74">
        <f>IF(B76&lt;1,"",D76-C76)</f>
        <v/>
      </c>
      <c r="F76" s="73">
        <f>SUMPRODUCT((grp_f=2)*(inc_f=1)*ISNUMBER(d_fms)*ISNUMBER(DS_pre_s)*ISNUMBER(DS_post_s))</f>
        <v/>
      </c>
      <c r="G76" s="74">
        <f t="array" ref="G76">IF(F76&lt;1,"",AVERAGE(IF((grp_f=2)*(inc_f=1)*ISNUMBER(d_fms)*ISNUMBER(DS_pre_s)*ISNUMBER(DS_post_s),DS_pre_s)))</f>
        <v/>
      </c>
      <c r="H76" s="74">
        <f t="array" ref="H76">IF(F76&lt;1,"",AVERAGE(IF((grp_f=2)*(inc_f=1)*ISNUMBER(d_fms)*ISNUMBER(DS_pre_s)*ISNUMBER(DS_post_s),DS_post_s)))</f>
        <v/>
      </c>
      <c r="I76" s="74">
        <f>IF(F76&lt;1,"",H76-G76)</f>
        <v/>
      </c>
    </row>
    <row r="77">
      <c r="A77" s="85" t="inlineStr">
        <is>
          <t>HS (Hurdle Step)</t>
        </is>
      </c>
      <c r="B77" s="73">
        <f>SUMPRODUCT((grp_f=1)*(inc_f=1)*ISNUMBER(d_fms)*ISNUMBER(HS_pre_s)*ISNUMBER(HS_post_s))</f>
        <v/>
      </c>
      <c r="C77" s="74">
        <f t="array" ref="C77">IF(B77&lt;1,"",AVERAGE(IF((grp_f=1)*(inc_f=1)*ISNUMBER(d_fms)*ISNUMBER(HS_pre_s)*ISNUMBER(HS_post_s),HS_pre_s)))</f>
        <v/>
      </c>
      <c r="D77" s="74">
        <f t="array" ref="D77">IF(B77&lt;1,"",AVERAGE(IF((grp_f=1)*(inc_f=1)*ISNUMBER(d_fms)*ISNUMBER(HS_pre_s)*ISNUMBER(HS_post_s),HS_post_s)))</f>
        <v/>
      </c>
      <c r="E77" s="74">
        <f>IF(B77&lt;1,"",D77-C77)</f>
        <v/>
      </c>
      <c r="F77" s="73">
        <f>SUMPRODUCT((grp_f=2)*(inc_f=1)*ISNUMBER(d_fms)*ISNUMBER(HS_pre_s)*ISNUMBER(HS_post_s))</f>
        <v/>
      </c>
      <c r="G77" s="74">
        <f t="array" ref="G77">IF(F77&lt;1,"",AVERAGE(IF((grp_f=2)*(inc_f=1)*ISNUMBER(d_fms)*ISNUMBER(HS_pre_s)*ISNUMBER(HS_post_s),HS_pre_s)))</f>
        <v/>
      </c>
      <c r="H77" s="74">
        <f t="array" ref="H77">IF(F77&lt;1,"",AVERAGE(IF((grp_f=2)*(inc_f=1)*ISNUMBER(d_fms)*ISNUMBER(HS_pre_s)*ISNUMBER(HS_post_s),HS_post_s)))</f>
        <v/>
      </c>
      <c r="I77" s="74">
        <f>IF(F77&lt;1,"",H77-G77)</f>
        <v/>
      </c>
    </row>
    <row r="78">
      <c r="A78" s="85" t="inlineStr">
        <is>
          <t>ILL (In-line Lunge)</t>
        </is>
      </c>
      <c r="B78" s="73">
        <f>SUMPRODUCT((grp_f=1)*(inc_f=1)*ISNUMBER(d_fms)*ISNUMBER(ILL_pre_s)*ISNUMBER(ILL_post_s))</f>
        <v/>
      </c>
      <c r="C78" s="74">
        <f t="array" ref="C78">IF(B78&lt;1,"",AVERAGE(IF((grp_f=1)*(inc_f=1)*ISNUMBER(d_fms)*ISNUMBER(ILL_pre_s)*ISNUMBER(ILL_post_s),ILL_pre_s)))</f>
        <v/>
      </c>
      <c r="D78" s="74">
        <f t="array" ref="D78">IF(B78&lt;1,"",AVERAGE(IF((grp_f=1)*(inc_f=1)*ISNUMBER(d_fms)*ISNUMBER(ILL_pre_s)*ISNUMBER(ILL_post_s),ILL_post_s)))</f>
        <v/>
      </c>
      <c r="E78" s="74">
        <f>IF(B78&lt;1,"",D78-C78)</f>
        <v/>
      </c>
      <c r="F78" s="73">
        <f>SUMPRODUCT((grp_f=2)*(inc_f=1)*ISNUMBER(d_fms)*ISNUMBER(ILL_pre_s)*ISNUMBER(ILL_post_s))</f>
        <v/>
      </c>
      <c r="G78" s="74">
        <f t="array" ref="G78">IF(F78&lt;1,"",AVERAGE(IF((grp_f=2)*(inc_f=1)*ISNUMBER(d_fms)*ISNUMBER(ILL_pre_s)*ISNUMBER(ILL_post_s),ILL_pre_s)))</f>
        <v/>
      </c>
      <c r="H78" s="74">
        <f t="array" ref="H78">IF(F78&lt;1,"",AVERAGE(IF((grp_f=2)*(inc_f=1)*ISNUMBER(d_fms)*ISNUMBER(ILL_pre_s)*ISNUMBER(ILL_post_s),ILL_post_s)))</f>
        <v/>
      </c>
      <c r="I78" s="74">
        <f>IF(F78&lt;1,"",H78-G78)</f>
        <v/>
      </c>
    </row>
    <row r="79">
      <c r="A79" s="85" t="inlineStr">
        <is>
          <t>SM (Shoulder Mobility)</t>
        </is>
      </c>
      <c r="B79" s="73">
        <f>SUMPRODUCT((grp_f=1)*(inc_f=1)*ISNUMBER(d_fms)*ISNUMBER(SM_pre_s)*ISNUMBER(SM_post_s))</f>
        <v/>
      </c>
      <c r="C79" s="74">
        <f t="array" ref="C79">IF(B79&lt;1,"",AVERAGE(IF((grp_f=1)*(inc_f=1)*ISNUMBER(d_fms)*ISNUMBER(SM_pre_s)*ISNUMBER(SM_post_s),SM_pre_s)))</f>
        <v/>
      </c>
      <c r="D79" s="74">
        <f t="array" ref="D79">IF(B79&lt;1,"",AVERAGE(IF((grp_f=1)*(inc_f=1)*ISNUMBER(d_fms)*ISNUMBER(SM_pre_s)*ISNUMBER(SM_post_s),SM_post_s)))</f>
        <v/>
      </c>
      <c r="E79" s="74">
        <f>IF(B79&lt;1,"",D79-C79)</f>
        <v/>
      </c>
      <c r="F79" s="73">
        <f>SUMPRODUCT((grp_f=2)*(inc_f=1)*ISNUMBER(d_fms)*ISNUMBER(SM_pre_s)*ISNUMBER(SM_post_s))</f>
        <v/>
      </c>
      <c r="G79" s="74">
        <f t="array" ref="G79">IF(F79&lt;1,"",AVERAGE(IF((grp_f=2)*(inc_f=1)*ISNUMBER(d_fms)*ISNUMBER(SM_pre_s)*ISNUMBER(SM_post_s),SM_pre_s)))</f>
        <v/>
      </c>
      <c r="H79" s="74">
        <f t="array" ref="H79">IF(F79&lt;1,"",AVERAGE(IF((grp_f=2)*(inc_f=1)*ISNUMBER(d_fms)*ISNUMBER(SM_pre_s)*ISNUMBER(SM_post_s),SM_post_s)))</f>
        <v/>
      </c>
      <c r="I79" s="74">
        <f>IF(F79&lt;1,"",H79-G79)</f>
        <v/>
      </c>
    </row>
    <row r="80">
      <c r="A80" s="85" t="inlineStr">
        <is>
          <t>ASLR (Active Straight Leg Raise)</t>
        </is>
      </c>
      <c r="B80" s="73">
        <f>SUMPRODUCT((grp_f=1)*(inc_f=1)*ISNUMBER(d_fms)*ISNUMBER(ASLR_pre_s)*ISNUMBER(ASLR_post_s))</f>
        <v/>
      </c>
      <c r="C80" s="74">
        <f t="array" ref="C80">IF(B80&lt;1,"",AVERAGE(IF((grp_f=1)*(inc_f=1)*ISNUMBER(d_fms)*ISNUMBER(ASLR_pre_s)*ISNUMBER(ASLR_post_s),ASLR_pre_s)))</f>
        <v/>
      </c>
      <c r="D80" s="74">
        <f t="array" ref="D80">IF(B80&lt;1,"",AVERAGE(IF((grp_f=1)*(inc_f=1)*ISNUMBER(d_fms)*ISNUMBER(ASLR_pre_s)*ISNUMBER(ASLR_post_s),ASLR_post_s)))</f>
        <v/>
      </c>
      <c r="E80" s="74">
        <f>IF(B80&lt;1,"",D80-C80)</f>
        <v/>
      </c>
      <c r="F80" s="73">
        <f>SUMPRODUCT((grp_f=2)*(inc_f=1)*ISNUMBER(d_fms)*ISNUMBER(ASLR_pre_s)*ISNUMBER(ASLR_post_s))</f>
        <v/>
      </c>
      <c r="G80" s="74">
        <f t="array" ref="G80">IF(F80&lt;1,"",AVERAGE(IF((grp_f=2)*(inc_f=1)*ISNUMBER(d_fms)*ISNUMBER(ASLR_pre_s)*ISNUMBER(ASLR_post_s),ASLR_pre_s)))</f>
        <v/>
      </c>
      <c r="H80" s="74">
        <f t="array" ref="H80">IF(F80&lt;1,"",AVERAGE(IF((grp_f=2)*(inc_f=1)*ISNUMBER(d_fms)*ISNUMBER(ASLR_pre_s)*ISNUMBER(ASLR_post_s),ASLR_post_s)))</f>
        <v/>
      </c>
      <c r="I80" s="74">
        <f>IF(F80&lt;1,"",H80-G80)</f>
        <v/>
      </c>
    </row>
    <row r="81">
      <c r="A81" s="85" t="inlineStr">
        <is>
          <t>TSPU (Trunk Stability Push-up)</t>
        </is>
      </c>
      <c r="B81" s="73">
        <f>SUMPRODUCT((grp_f=1)*(inc_f=1)*ISNUMBER(d_fms)*ISNUMBER(TSPU_pre_s)*ISNUMBER(TSPU_post_s))</f>
        <v/>
      </c>
      <c r="C81" s="74">
        <f t="array" ref="C81">IF(B81&lt;1,"",AVERAGE(IF((grp_f=1)*(inc_f=1)*ISNUMBER(d_fms)*ISNUMBER(TSPU_pre_s)*ISNUMBER(TSPU_post_s),TSPU_pre_s)))</f>
        <v/>
      </c>
      <c r="D81" s="74">
        <f t="array" ref="D81">IF(B81&lt;1,"",AVERAGE(IF((grp_f=1)*(inc_f=1)*ISNUMBER(d_fms)*ISNUMBER(TSPU_pre_s)*ISNUMBER(TSPU_post_s),TSPU_post_s)))</f>
        <v/>
      </c>
      <c r="E81" s="74">
        <f>IF(B81&lt;1,"",D81-C81)</f>
        <v/>
      </c>
      <c r="F81" s="73">
        <f>SUMPRODUCT((grp_f=2)*(inc_f=1)*ISNUMBER(d_fms)*ISNUMBER(TSPU_pre_s)*ISNUMBER(TSPU_post_s))</f>
        <v/>
      </c>
      <c r="G81" s="74">
        <f t="array" ref="G81">IF(F81&lt;1,"",AVERAGE(IF((grp_f=2)*(inc_f=1)*ISNUMBER(d_fms)*ISNUMBER(TSPU_pre_s)*ISNUMBER(TSPU_post_s),TSPU_pre_s)))</f>
        <v/>
      </c>
      <c r="H81" s="74">
        <f t="array" ref="H81">IF(F81&lt;1,"",AVERAGE(IF((grp_f=2)*(inc_f=1)*ISNUMBER(d_fms)*ISNUMBER(TSPU_pre_s)*ISNUMBER(TSPU_post_s),TSPU_post_s)))</f>
        <v/>
      </c>
      <c r="I81" s="74">
        <f>IF(F81&lt;1,"",H81-G81)</f>
        <v/>
      </c>
    </row>
    <row r="82">
      <c r="A82" s="85" t="inlineStr">
        <is>
          <t>RS (Rotary Stability)</t>
        </is>
      </c>
      <c r="B82" s="73">
        <f>SUMPRODUCT((grp_f=1)*(inc_f=1)*ISNUMBER(d_fms)*ISNUMBER(RS_pre_s)*ISNUMBER(RS_post_s))</f>
        <v/>
      </c>
      <c r="C82" s="74">
        <f t="array" ref="C82">IF(B82&lt;1,"",AVERAGE(IF((grp_f=1)*(inc_f=1)*ISNUMBER(d_fms)*ISNUMBER(RS_pre_s)*ISNUMBER(RS_post_s),RS_pre_s)))</f>
        <v/>
      </c>
      <c r="D82" s="74">
        <f t="array" ref="D82">IF(B82&lt;1,"",AVERAGE(IF((grp_f=1)*(inc_f=1)*ISNUMBER(d_fms)*ISNUMBER(RS_pre_s)*ISNUMBER(RS_post_s),RS_post_s)))</f>
        <v/>
      </c>
      <c r="E82" s="74">
        <f>IF(B82&lt;1,"",D82-C82)</f>
        <v/>
      </c>
      <c r="F82" s="73">
        <f>SUMPRODUCT((grp_f=2)*(inc_f=1)*ISNUMBER(d_fms)*ISNUMBER(RS_pre_s)*ISNUMBER(RS_post_s))</f>
        <v/>
      </c>
      <c r="G82" s="74">
        <f t="array" ref="G82">IF(F82&lt;1,"",AVERAGE(IF((grp_f=2)*(inc_f=1)*ISNUMBER(d_fms)*ISNUMBER(RS_pre_s)*ISNUMBER(RS_post_s),RS_pre_s)))</f>
        <v/>
      </c>
      <c r="H82" s="74">
        <f t="array" ref="H82">IF(F82&lt;1,"",AVERAGE(IF((grp_f=2)*(inc_f=1)*ISNUMBER(d_fms)*ISNUMBER(RS_pre_s)*ISNUMBER(RS_post_s),RS_post_s)))</f>
        <v/>
      </c>
      <c r="I82" s="74">
        <f>IF(F82&lt;1,"",H82-G82)</f>
        <v/>
      </c>
    </row>
    <row r="83">
      <c r="A83" s="85" t="inlineStr">
        <is>
          <t>좌우 비대칭 항목 수</t>
        </is>
      </c>
      <c r="B83" s="73">
        <f>SUMPRODUCT((grp_f=1)*(inc_f=1)*ISNUMBER(d_fms)*ISNUMBER(asym_pre)*ISNUMBER(asym_post))</f>
        <v/>
      </c>
      <c r="C83" s="74">
        <f t="array" ref="C83">IF(B83&lt;1,"",AVERAGE(IF((grp_f=1)*(inc_f=1)*ISNUMBER(d_fms)*ISNUMBER(asym_pre)*ISNUMBER(asym_post),asym_pre)))</f>
        <v/>
      </c>
      <c r="D83" s="74">
        <f t="array" ref="D83">IF(B83&lt;1,"",AVERAGE(IF((grp_f=1)*(inc_f=1)*ISNUMBER(d_fms)*ISNUMBER(asym_pre)*ISNUMBER(asym_post),asym_post)))</f>
        <v/>
      </c>
      <c r="E83" s="74">
        <f>IF(B83&lt;1,"",D83-C83)</f>
        <v/>
      </c>
      <c r="F83" s="73">
        <f>SUMPRODUCT((grp_f=2)*(inc_f=1)*ISNUMBER(d_fms)*ISNUMBER(asym_pre)*ISNUMBER(asym_post))</f>
        <v/>
      </c>
      <c r="G83" s="74">
        <f t="array" ref="G83">IF(F83&lt;1,"",AVERAGE(IF((grp_f=2)*(inc_f=1)*ISNUMBER(d_fms)*ISNUMBER(asym_pre)*ISNUMBER(asym_post),asym_pre)))</f>
        <v/>
      </c>
      <c r="H83" s="74">
        <f t="array" ref="H83">IF(F83&lt;1,"",AVERAGE(IF((grp_f=2)*(inc_f=1)*ISNUMBER(d_fms)*ISNUMBER(asym_pre)*ISNUMBER(asym_post),asym_post)))</f>
        <v/>
      </c>
      <c r="I83" s="74">
        <f>IF(F83&lt;1,"",H83-G83)</f>
        <v/>
      </c>
    </row>
    <row r="85">
      <c r="A85" s="71" t="inlineStr">
        <is>
          <t>K. 일반적 특성 (분석포함=1, 대상자_VO2max 시트) — 원고 표 1용</t>
        </is>
      </c>
    </row>
    <row r="86" ht="30" customHeight="1">
      <c r="A86" s="14" t="inlineStr">
        <is>
          <t>변수</t>
        </is>
      </c>
      <c r="B86" s="14" t="inlineStr">
        <is>
          <t>실험 n</t>
        </is>
      </c>
      <c r="C86" s="14" t="inlineStr">
        <is>
          <t>실험 M</t>
        </is>
      </c>
      <c r="D86" s="14" t="inlineStr">
        <is>
          <t>실험 SD</t>
        </is>
      </c>
      <c r="E86" s="14" t="inlineStr">
        <is>
          <t>통제 n</t>
        </is>
      </c>
      <c r="F86" s="14" t="inlineStr">
        <is>
          <t>통제 M</t>
        </is>
      </c>
      <c r="G86" s="14" t="inlineStr">
        <is>
          <t>통제 SD</t>
        </is>
      </c>
      <c r="H86" s="14" t="inlineStr">
        <is>
          <t>표준화 평균차
(SMD)</t>
        </is>
      </c>
    </row>
    <row r="87">
      <c r="A87" s="85" t="inlineStr">
        <is>
          <t>연령 (세)</t>
        </is>
      </c>
      <c r="B87" s="73">
        <f>SUMPRODUCT((grp=1)*(inc=1)*ISNUMBER(age))</f>
        <v/>
      </c>
      <c r="C87" s="74">
        <f t="array" ref="C87">IF(B87&lt;1,"",AVERAGE(IF((grp=1)*(inc=1)*ISNUMBER(age),age)))</f>
        <v/>
      </c>
      <c r="D87" s="74">
        <f t="array" ref="D87">IF(B87&lt;2,"",STDEV(IF((grp=1)*(inc=1)*ISNUMBER(age),age)))</f>
        <v/>
      </c>
      <c r="E87" s="73">
        <f>SUMPRODUCT((grp=2)*(inc=1)*ISNUMBER(age))</f>
        <v/>
      </c>
      <c r="F87" s="74">
        <f t="array" ref="F87">IF(E87&lt;1,"",AVERAGE(IF((grp=2)*(inc=1)*ISNUMBER(age),age)))</f>
        <v/>
      </c>
      <c r="G87" s="74">
        <f t="array" ref="G87">IF(E87&lt;2,"",STDEV(IF((grp=2)*(inc=1)*ISNUMBER(age),age)))</f>
        <v/>
      </c>
      <c r="H87" s="74">
        <f>IF(OR(B87&lt;2,E87&lt;2),"",IF(ROUND(SQRT(((B87-1)*D87^2+(E87-1)*G87^2)/(B87+E87-2)),10)=0,"",(C87-F87)/SQRT(((B87-1)*D87^2+(E87-1)*G87^2)/(B87+E87-2))))</f>
        <v/>
      </c>
    </row>
    <row r="88">
      <c r="A88" s="85" t="inlineStr">
        <is>
          <t>신장 (cm)</t>
        </is>
      </c>
      <c r="B88" s="73">
        <f>SUMPRODUCT((grp=1)*(inc=1)*ISNUMBER(height))</f>
        <v/>
      </c>
      <c r="C88" s="74">
        <f t="array" ref="C88">IF(B88&lt;1,"",AVERAGE(IF((grp=1)*(inc=1)*ISNUMBER(height),height)))</f>
        <v/>
      </c>
      <c r="D88" s="74">
        <f t="array" ref="D88">IF(B88&lt;2,"",STDEV(IF((grp=1)*(inc=1)*ISNUMBER(height),height)))</f>
        <v/>
      </c>
      <c r="E88" s="73">
        <f>SUMPRODUCT((grp=2)*(inc=1)*ISNUMBER(height))</f>
        <v/>
      </c>
      <c r="F88" s="74">
        <f t="array" ref="F88">IF(E88&lt;1,"",AVERAGE(IF((grp=2)*(inc=1)*ISNUMBER(height),height)))</f>
        <v/>
      </c>
      <c r="G88" s="74">
        <f t="array" ref="G88">IF(E88&lt;2,"",STDEV(IF((grp=2)*(inc=1)*ISNUMBER(height),height)))</f>
        <v/>
      </c>
      <c r="H88" s="74">
        <f>IF(OR(B88&lt;2,E88&lt;2),"",IF(ROUND(SQRT(((B88-1)*D88^2+(E88-1)*G88^2)/(B88+E88-2)),10)=0,"",(C88-F88)/SQRT(((B88-1)*D88^2+(E88-1)*G88^2)/(B88+E88-2))))</f>
        <v/>
      </c>
    </row>
    <row r="89">
      <c r="A89" s="85" t="inlineStr">
        <is>
          <t>사전 체중 (kg)</t>
        </is>
      </c>
      <c r="B89" s="73">
        <f>SUMPRODUCT((grp=1)*(inc=1)*ISNUMBER(wt_pre))</f>
        <v/>
      </c>
      <c r="C89" s="74">
        <f t="array" ref="C89">IF(B89&lt;1,"",AVERAGE(IF((grp=1)*(inc=1)*ISNUMBER(wt_pre),wt_pre)))</f>
        <v/>
      </c>
      <c r="D89" s="74">
        <f t="array" ref="D89">IF(B89&lt;2,"",STDEV(IF((grp=1)*(inc=1)*ISNUMBER(wt_pre),wt_pre)))</f>
        <v/>
      </c>
      <c r="E89" s="73">
        <f>SUMPRODUCT((grp=2)*(inc=1)*ISNUMBER(wt_pre))</f>
        <v/>
      </c>
      <c r="F89" s="74">
        <f t="array" ref="F89">IF(E89&lt;1,"",AVERAGE(IF((grp=2)*(inc=1)*ISNUMBER(wt_pre),wt_pre)))</f>
        <v/>
      </c>
      <c r="G89" s="74">
        <f t="array" ref="G89">IF(E89&lt;2,"",STDEV(IF((grp=2)*(inc=1)*ISNUMBER(wt_pre),wt_pre)))</f>
        <v/>
      </c>
      <c r="H89" s="74">
        <f>IF(OR(B89&lt;2,E89&lt;2),"",IF(ROUND(SQRT(((B89-1)*D89^2+(E89-1)*G89^2)/(B89+E89-2)),10)=0,"",(C89-F89)/SQRT(((B89-1)*D89^2+(E89-1)*G89^2)/(B89+E89-2))))</f>
        <v/>
      </c>
    </row>
    <row r="90">
      <c r="A90" s="85" t="inlineStr">
        <is>
          <t>선수 경력 (년)</t>
        </is>
      </c>
      <c r="B90" s="73">
        <f>SUMPRODUCT((grp=1)*(inc=1)*ISNUMBER(career))</f>
        <v/>
      </c>
      <c r="C90" s="74">
        <f t="array" ref="C90">IF(B90&lt;1,"",AVERAGE(IF((grp=1)*(inc=1)*ISNUMBER(career),career)))</f>
        <v/>
      </c>
      <c r="D90" s="74">
        <f t="array" ref="D90">IF(B90&lt;2,"",STDEV(IF((grp=1)*(inc=1)*ISNUMBER(career),career)))</f>
        <v/>
      </c>
      <c r="E90" s="73">
        <f>SUMPRODUCT((grp=2)*(inc=1)*ISNUMBER(career))</f>
        <v/>
      </c>
      <c r="F90" s="74">
        <f t="array" ref="F90">IF(E90&lt;1,"",AVERAGE(IF((grp=2)*(inc=1)*ISNUMBER(career),career)))</f>
        <v/>
      </c>
      <c r="G90" s="74">
        <f t="array" ref="G90">IF(E90&lt;2,"",STDEV(IF((grp=2)*(inc=1)*ISNUMBER(career),career)))</f>
        <v/>
      </c>
      <c r="H90" s="74">
        <f>IF(OR(B90&lt;2,E90&lt;2),"",IF(ROUND(SQRT(((B90-1)*D90^2+(E90-1)*G90^2)/(B90+E90-2)),10)=0,"",(C90-F90)/SQRT(((B90-1)*D90^2+(E90-1)*G90^2)/(B90+E90-2))))</f>
        <v/>
      </c>
    </row>
    <row r="91">
      <c r="A91" s="85" t="inlineStr">
        <is>
          <t>성별 남 / 여 (명)</t>
        </is>
      </c>
      <c r="B91" s="74">
        <f>SUMPRODUCT((grp=1)*(inc=1)*(sex=1))&amp;" / "&amp;SUMPRODUCT((grp=1)*(inc=1)*(sex=2))</f>
        <v/>
      </c>
      <c r="C91" s="74" t="n"/>
      <c r="D91" s="74" t="n"/>
      <c r="E91" s="74">
        <f>SUMPRODUCT((grp=2)*(inc=1)*(sex=1))&amp;" / "&amp;SUMPRODUCT((grp=2)*(inc=1)*(sex=2))</f>
        <v/>
      </c>
      <c r="F91" s="74" t="n"/>
      <c r="G91" s="74" t="n"/>
      <c r="H91" s="74" t="n"/>
    </row>
    <row r="92">
      <c r="A92" s="2" t="inlineStr">
        <is>
          <t>SMD = 집단 평균 차 ÷ 합동 SD (절댓값 0.1 미만이면 균형이 좋은 편). 기초 균형은 p값보다 SMD로 보고하는 것을 권합니다.</t>
        </is>
      </c>
    </row>
    <row r="94">
      <c r="A94" s="71" t="inlineStr">
        <is>
          <t>J. 자료 점검 요약</t>
        </is>
      </c>
    </row>
    <row r="95" ht="28" customHeight="1">
      <c r="A95" s="19" t="inlineStr">
        <is>
          <t>대상자_VO2max 입력 인원 (ID 기준)</t>
        </is>
      </c>
      <c r="B95" s="79">
        <f>SUMPRODUCT(--(LEN('대상자_VO2max'!$A$4:$A$33)&gt;0))</f>
        <v/>
      </c>
    </row>
    <row r="96" ht="28" customHeight="1">
      <c r="A96" s="19" t="inlineStr">
        <is>
          <t>FMS 시트 입력 ID 수</t>
        </is>
      </c>
      <c r="B96" s="79">
        <f>SUMPRODUCT(--(LEN('FMS'!$A$4:$A$33)&gt;0))</f>
        <v/>
      </c>
    </row>
    <row r="97" ht="28" customHeight="1">
      <c r="A97" s="19" t="inlineStr">
        <is>
          <t>FMS_평가자2 입력 ID 수</t>
        </is>
      </c>
      <c r="B97" s="79">
        <f>SUMPRODUCT(--(LEN('FMS_평가자2'!$A$4:$A$33)&gt;0))</f>
        <v/>
      </c>
    </row>
    <row r="98" ht="28" customHeight="1">
      <c r="A98" s="19" t="inlineStr">
        <is>
          <t>대상자 시트 경고가 있는 행 수</t>
        </is>
      </c>
      <c r="B98" s="79">
        <f>SUMPRODUCT(--(LEN('대상자_VO2max'!$AK$4:$AK$33)&gt;0))</f>
        <v/>
      </c>
    </row>
    <row r="99" ht="28" customHeight="1">
      <c r="A99" s="19" t="inlineStr">
        <is>
          <t>FMS 시트 경고가 있는 행 수</t>
        </is>
      </c>
      <c r="B99" s="79">
        <f>SUMPRODUCT(--(LEN('FMS'!$BS$4:$BS$33)&gt;0))</f>
        <v/>
      </c>
    </row>
    <row r="100" ht="28" customHeight="1">
      <c r="A100" s="19" t="inlineStr">
        <is>
          <t>FMS_평가자2 시트 경고가 있는 행 수</t>
        </is>
      </c>
      <c r="B100" s="79">
        <f>SUMPRODUCT(--(LEN('FMS_평가자2'!$BA$4:$BA$33)&gt;0))</f>
        <v/>
      </c>
    </row>
    <row r="101" ht="28" customHeight="1">
      <c r="A101" s="19" t="inlineStr">
        <is>
          <t>FMS 시트 ID 중 대상자 시트에 없는 ID 수</t>
        </is>
      </c>
      <c r="B101" s="79">
        <f>COUNTIF('FMS'!$B$4:$B$33,"ID없음")</f>
        <v/>
      </c>
    </row>
    <row r="102" ht="28" customHeight="1">
      <c r="A102" s="19" t="inlineStr">
        <is>
          <t>계산총점 ≠ SPSS총점인 행 수</t>
        </is>
      </c>
      <c r="B102" s="79">
        <f>SUMPRODUCT(--ISNUMBER(SEARCH("≠SPSS총점",'FMS'!$BS$4:$BS$33)))</f>
        <v/>
      </c>
    </row>
    <row r="103" ht="28" customHeight="1">
      <c r="A103" s="19" t="inlineStr">
        <is>
          <t>총점이 정수가 아닌 행 수</t>
        </is>
      </c>
      <c r="B103" s="79">
        <f>SUMPRODUCT(--ISNUMBER(SEARCH("정수 아님",'FMS'!$BS$4:$BS$33)))</f>
        <v/>
      </c>
    </row>
    <row r="104" ht="28" customHeight="1">
      <c r="A104" s="19" t="inlineStr">
        <is>
          <t>하위항목 없이 SPSS총점으로 대체된 FMS 값 수 (사전+사후)</t>
        </is>
      </c>
      <c r="B104" s="79">
        <f>COUNTIF('FMS'!$BL$4:$BL$33,"SPSS총점")+COUNTIF('FMS'!$BM$4:$BM$33,"SPSS총점")</f>
        <v/>
      </c>
    </row>
    <row r="105" ht="28" customHeight="1">
      <c r="A105" s="19" t="inlineStr">
        <is>
          <t>clearing test 기록이 3개 미만인 FMS 측정 수 (통증 없음으로 계산됨)</t>
        </is>
      </c>
      <c r="B105" s="79">
        <f>COUNTIF('FMS'!$AX$4:$AX$33,"&lt;3")+COUNTIF('FMS'!$BH$4:$BH$33,"&lt;3")</f>
        <v/>
      </c>
    </row>
    <row r="106" ht="28" customHeight="1">
      <c r="A106" s="19" t="inlineStr">
        <is>
          <t>수정기록 건수</t>
        </is>
      </c>
      <c r="B106" s="79">
        <f>COUNTA('수정기록'!$C$4:$C$103)</f>
        <v/>
      </c>
    </row>
    <row r="107" ht="28" customHeight="1">
      <c r="A107" s="19" t="inlineStr">
        <is>
          <t>머리글·예시 행이 정렬 등으로 섞였는가 (1이면 Ctrl+Z로 되돌리기; 예시 행을 지워도 1)</t>
        </is>
      </c>
      <c r="B107" s="79">
        <f>IF(AND('대상자_VO2max'!$A$3="예시",'FMS'!$A$3="예시",'FMS_평가자2'!$A$3="예시",'출석_훈련기록'!$A$3="예시"),0,1)</f>
        <v/>
      </c>
    </row>
  </sheetData>
  <mergeCells count="2">
    <mergeCell ref="A50:I50"/>
    <mergeCell ref="A2:N2"/>
  </mergeCells>
  <conditionalFormatting sqref="E52:E71">
    <cfRule type="expression" priority="1" dxfId="1">
      <formula>E52="같음"</formula>
    </cfRule>
    <cfRule type="expression" priority="2" dxfId="2">
      <formula>E52="다름"</formula>
    </cfRule>
  </conditionalFormatting>
  <conditionalFormatting sqref="I52:I71">
    <cfRule type="expression" priority="3" dxfId="1">
      <formula>I52="같음"</formula>
    </cfRule>
    <cfRule type="expression" priority="4" dxfId="2">
      <formula>I52="다름"</formula>
    </cfRule>
  </conditionalFormatting>
  <conditionalFormatting sqref="B98">
    <cfRule type="expression" priority="5" dxfId="0">
      <formula>B98&gt;0</formula>
    </cfRule>
  </conditionalFormatting>
  <conditionalFormatting sqref="B99">
    <cfRule type="expression" priority="6" dxfId="0">
      <formula>B99&gt;0</formula>
    </cfRule>
  </conditionalFormatting>
  <conditionalFormatting sqref="B100">
    <cfRule type="expression" priority="7" dxfId="0">
      <formula>B100&gt;0</formula>
    </cfRule>
  </conditionalFormatting>
  <conditionalFormatting sqref="B101">
    <cfRule type="expression" priority="8" dxfId="0">
      <formula>B101&gt;0</formula>
    </cfRule>
  </conditionalFormatting>
  <conditionalFormatting sqref="B102">
    <cfRule type="expression" priority="9" dxfId="0">
      <formula>B102&gt;0</formula>
    </cfRule>
  </conditionalFormatting>
  <conditionalFormatting sqref="B103">
    <cfRule type="expression" priority="10" dxfId="0">
      <formula>B103&gt;0</formula>
    </cfRule>
  </conditionalFormatting>
  <conditionalFormatting sqref="B104">
    <cfRule type="expression" priority="11" dxfId="0">
      <formula>B104&gt;0</formula>
    </cfRule>
  </conditionalFormatting>
  <conditionalFormatting sqref="B105">
    <cfRule type="expression" priority="12" dxfId="0">
      <formula>B105&gt;0</formula>
    </cfRule>
  </conditionalFormatting>
  <conditionalFormatting sqref="B107">
    <cfRule type="expression" priority="13" dxfId="0">
      <formula>B107&gt;0</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3"/>
  <sheetViews>
    <sheetView zoomScale="90" workbookViewId="0">
      <pane ySplit="3" topLeftCell="A4" activePane="bottomLeft" state="frozen"/>
      <selection pane="bottomLeft" activeCell="A1" sqref="A1"/>
    </sheetView>
  </sheetViews>
  <sheetFormatPr baseColWidth="8" defaultRowHeight="15"/>
  <cols>
    <col width="11" customWidth="1" min="1" max="1"/>
    <col width="16" customWidth="1" min="2" max="2"/>
    <col width="8" customWidth="1" min="3" max="3"/>
    <col width="14" customWidth="1" min="4" max="4"/>
    <col width="10" customWidth="1" min="5" max="5"/>
    <col width="10" customWidth="1" min="6" max="6"/>
    <col width="30" customWidth="1" min="7" max="7"/>
    <col width="32" customWidth="1" min="8" max="8"/>
  </cols>
  <sheetData>
    <row r="1">
      <c r="A1" s="12" t="inlineStr">
        <is>
          <t>수정기록 (입력 실수를 고친 경우에만; 원래 값과 근거를 남깁니다)</t>
        </is>
      </c>
    </row>
    <row r="2">
      <c r="A2" s="14" t="inlineStr">
        <is>
          <t>수정일</t>
        </is>
      </c>
      <c r="B2" s="14" t="inlineStr">
        <is>
          <t>시트</t>
        </is>
      </c>
      <c r="C2" s="14" t="inlineStr">
        <is>
          <t>ID</t>
        </is>
      </c>
      <c r="D2" s="14" t="inlineStr">
        <is>
          <t>변수(1행 이름)</t>
        </is>
      </c>
      <c r="E2" s="14" t="inlineStr">
        <is>
          <t>원래 값</t>
        </is>
      </c>
      <c r="F2" s="14" t="inlineStr">
        <is>
          <t>수정한 값</t>
        </is>
      </c>
      <c r="G2" s="14" t="inlineStr">
        <is>
          <t>수정 사유</t>
        </is>
      </c>
      <c r="H2" s="14" t="inlineStr">
        <is>
          <t>근거 문서 (기록지·출력물 등)</t>
        </is>
      </c>
    </row>
    <row r="3">
      <c r="A3" s="86" t="n">
        <v>46315</v>
      </c>
      <c r="B3" s="87" t="inlineStr">
        <is>
          <t>대상자_VO2max</t>
        </is>
      </c>
      <c r="C3" s="87" t="inlineStr">
        <is>
          <t>예시</t>
        </is>
      </c>
      <c r="D3" s="87" t="inlineStr">
        <is>
          <t>vo2_post</t>
        </is>
      </c>
      <c r="E3" s="87" t="n">
        <v>25.24</v>
      </c>
      <c r="F3" s="87" t="n">
        <v>52.42</v>
      </c>
      <c r="G3" s="87" t="inlineStr">
        <is>
          <t>자릿수 전사 실수</t>
        </is>
      </c>
      <c r="H3" s="87" t="inlineStr">
        <is>
          <t>가스분석기 출력물 2025-05-30</t>
        </is>
      </c>
    </row>
    <row r="4">
      <c r="A4" s="88" t="n"/>
      <c r="B4" s="89" t="n"/>
      <c r="C4" s="89" t="n"/>
      <c r="D4" s="89" t="n"/>
      <c r="E4" s="89" t="n"/>
      <c r="F4" s="89" t="n"/>
      <c r="G4" s="89" t="n"/>
      <c r="H4" s="89" t="n"/>
    </row>
    <row r="5">
      <c r="A5" s="88" t="n"/>
      <c r="B5" s="89" t="n"/>
      <c r="C5" s="89" t="n"/>
      <c r="D5" s="89" t="n"/>
      <c r="E5" s="89" t="n"/>
      <c r="F5" s="89" t="n"/>
      <c r="G5" s="89" t="n"/>
      <c r="H5" s="89" t="n"/>
    </row>
    <row r="6">
      <c r="A6" s="88" t="n"/>
      <c r="B6" s="89" t="n"/>
      <c r="C6" s="89" t="n"/>
      <c r="D6" s="89" t="n"/>
      <c r="E6" s="89" t="n"/>
      <c r="F6" s="89" t="n"/>
      <c r="G6" s="89" t="n"/>
      <c r="H6" s="89" t="n"/>
    </row>
    <row r="7">
      <c r="A7" s="88" t="n"/>
      <c r="B7" s="89" t="n"/>
      <c r="C7" s="89" t="n"/>
      <c r="D7" s="89" t="n"/>
      <c r="E7" s="89" t="n"/>
      <c r="F7" s="89" t="n"/>
      <c r="G7" s="89" t="n"/>
      <c r="H7" s="89" t="n"/>
    </row>
    <row r="8">
      <c r="A8" s="88" t="n"/>
      <c r="B8" s="89" t="n"/>
      <c r="C8" s="89" t="n"/>
      <c r="D8" s="89" t="n"/>
      <c r="E8" s="89" t="n"/>
      <c r="F8" s="89" t="n"/>
      <c r="G8" s="89" t="n"/>
      <c r="H8" s="89" t="n"/>
    </row>
    <row r="9">
      <c r="A9" s="88" t="n"/>
      <c r="B9" s="89" t="n"/>
      <c r="C9" s="89" t="n"/>
      <c r="D9" s="89" t="n"/>
      <c r="E9" s="89" t="n"/>
      <c r="F9" s="89" t="n"/>
      <c r="G9" s="89" t="n"/>
      <c r="H9" s="89" t="n"/>
    </row>
    <row r="10">
      <c r="A10" s="88" t="n"/>
      <c r="B10" s="89" t="n"/>
      <c r="C10" s="89" t="n"/>
      <c r="D10" s="89" t="n"/>
      <c r="E10" s="89" t="n"/>
      <c r="F10" s="89" t="n"/>
      <c r="G10" s="89" t="n"/>
      <c r="H10" s="89" t="n"/>
    </row>
    <row r="11">
      <c r="A11" s="88" t="n"/>
      <c r="B11" s="89" t="n"/>
      <c r="C11" s="89" t="n"/>
      <c r="D11" s="89" t="n"/>
      <c r="E11" s="89" t="n"/>
      <c r="F11" s="89" t="n"/>
      <c r="G11" s="89" t="n"/>
      <c r="H11" s="89" t="n"/>
    </row>
    <row r="12">
      <c r="A12" s="88" t="n"/>
      <c r="B12" s="89" t="n"/>
      <c r="C12" s="89" t="n"/>
      <c r="D12" s="89" t="n"/>
      <c r="E12" s="89" t="n"/>
      <c r="F12" s="89" t="n"/>
      <c r="G12" s="89" t="n"/>
      <c r="H12" s="89" t="n"/>
    </row>
    <row r="13">
      <c r="A13" s="88" t="n"/>
      <c r="B13" s="89" t="n"/>
      <c r="C13" s="89" t="n"/>
      <c r="D13" s="89" t="n"/>
      <c r="E13" s="89" t="n"/>
      <c r="F13" s="89" t="n"/>
      <c r="G13" s="89" t="n"/>
      <c r="H13" s="89" t="n"/>
    </row>
    <row r="14">
      <c r="A14" s="88" t="n"/>
      <c r="B14" s="89" t="n"/>
      <c r="C14" s="89" t="n"/>
      <c r="D14" s="89" t="n"/>
      <c r="E14" s="89" t="n"/>
      <c r="F14" s="89" t="n"/>
      <c r="G14" s="89" t="n"/>
      <c r="H14" s="89" t="n"/>
    </row>
    <row r="15">
      <c r="A15" s="88" t="n"/>
      <c r="B15" s="89" t="n"/>
      <c r="C15" s="89" t="n"/>
      <c r="D15" s="89" t="n"/>
      <c r="E15" s="89" t="n"/>
      <c r="F15" s="89" t="n"/>
      <c r="G15" s="89" t="n"/>
      <c r="H15" s="89" t="n"/>
    </row>
    <row r="16">
      <c r="A16" s="88" t="n"/>
      <c r="B16" s="89" t="n"/>
      <c r="C16" s="89" t="n"/>
      <c r="D16" s="89" t="n"/>
      <c r="E16" s="89" t="n"/>
      <c r="F16" s="89" t="n"/>
      <c r="G16" s="89" t="n"/>
      <c r="H16" s="89" t="n"/>
    </row>
    <row r="17">
      <c r="A17" s="88" t="n"/>
      <c r="B17" s="89" t="n"/>
      <c r="C17" s="89" t="n"/>
      <c r="D17" s="89" t="n"/>
      <c r="E17" s="89" t="n"/>
      <c r="F17" s="89" t="n"/>
      <c r="G17" s="89" t="n"/>
      <c r="H17" s="89" t="n"/>
    </row>
    <row r="18">
      <c r="A18" s="88" t="n"/>
      <c r="B18" s="89" t="n"/>
      <c r="C18" s="89" t="n"/>
      <c r="D18" s="89" t="n"/>
      <c r="E18" s="89" t="n"/>
      <c r="F18" s="89" t="n"/>
      <c r="G18" s="89" t="n"/>
      <c r="H18" s="89" t="n"/>
    </row>
    <row r="19">
      <c r="A19" s="88" t="n"/>
      <c r="B19" s="89" t="n"/>
      <c r="C19" s="89" t="n"/>
      <c r="D19" s="89" t="n"/>
      <c r="E19" s="89" t="n"/>
      <c r="F19" s="89" t="n"/>
      <c r="G19" s="89" t="n"/>
      <c r="H19" s="89" t="n"/>
    </row>
    <row r="20">
      <c r="A20" s="88" t="n"/>
      <c r="B20" s="89" t="n"/>
      <c r="C20" s="89" t="n"/>
      <c r="D20" s="89" t="n"/>
      <c r="E20" s="89" t="n"/>
      <c r="F20" s="89" t="n"/>
      <c r="G20" s="89" t="n"/>
      <c r="H20" s="89" t="n"/>
    </row>
    <row r="21">
      <c r="A21" s="88" t="n"/>
      <c r="B21" s="89" t="n"/>
      <c r="C21" s="89" t="n"/>
      <c r="D21" s="89" t="n"/>
      <c r="E21" s="89" t="n"/>
      <c r="F21" s="89" t="n"/>
      <c r="G21" s="89" t="n"/>
      <c r="H21" s="89" t="n"/>
    </row>
    <row r="22">
      <c r="A22" s="88" t="n"/>
      <c r="B22" s="89" t="n"/>
      <c r="C22" s="89" t="n"/>
      <c r="D22" s="89" t="n"/>
      <c r="E22" s="89" t="n"/>
      <c r="F22" s="89" t="n"/>
      <c r="G22" s="89" t="n"/>
      <c r="H22" s="89" t="n"/>
    </row>
    <row r="23">
      <c r="A23" s="88" t="n"/>
      <c r="B23" s="89" t="n"/>
      <c r="C23" s="89" t="n"/>
      <c r="D23" s="89" t="n"/>
      <c r="E23" s="89" t="n"/>
      <c r="F23" s="89" t="n"/>
      <c r="G23" s="89" t="n"/>
      <c r="H23" s="89" t="n"/>
    </row>
    <row r="24">
      <c r="A24" s="88" t="n"/>
      <c r="B24" s="89" t="n"/>
      <c r="C24" s="89" t="n"/>
      <c r="D24" s="89" t="n"/>
      <c r="E24" s="89" t="n"/>
      <c r="F24" s="89" t="n"/>
      <c r="G24" s="89" t="n"/>
      <c r="H24" s="89" t="n"/>
    </row>
    <row r="25">
      <c r="A25" s="88" t="n"/>
      <c r="B25" s="89" t="n"/>
      <c r="C25" s="89" t="n"/>
      <c r="D25" s="89" t="n"/>
      <c r="E25" s="89" t="n"/>
      <c r="F25" s="89" t="n"/>
      <c r="G25" s="89" t="n"/>
      <c r="H25" s="89" t="n"/>
    </row>
    <row r="26">
      <c r="A26" s="88" t="n"/>
      <c r="B26" s="89" t="n"/>
      <c r="C26" s="89" t="n"/>
      <c r="D26" s="89" t="n"/>
      <c r="E26" s="89" t="n"/>
      <c r="F26" s="89" t="n"/>
      <c r="G26" s="89" t="n"/>
      <c r="H26" s="89" t="n"/>
    </row>
    <row r="27">
      <c r="A27" s="88" t="n"/>
      <c r="B27" s="89" t="n"/>
      <c r="C27" s="89" t="n"/>
      <c r="D27" s="89" t="n"/>
      <c r="E27" s="89" t="n"/>
      <c r="F27" s="89" t="n"/>
      <c r="G27" s="89" t="n"/>
      <c r="H27" s="89" t="n"/>
    </row>
    <row r="28">
      <c r="A28" s="88" t="n"/>
      <c r="B28" s="89" t="n"/>
      <c r="C28" s="89" t="n"/>
      <c r="D28" s="89" t="n"/>
      <c r="E28" s="89" t="n"/>
      <c r="F28" s="89" t="n"/>
      <c r="G28" s="89" t="n"/>
      <c r="H28" s="89" t="n"/>
    </row>
    <row r="29">
      <c r="A29" s="88" t="n"/>
      <c r="B29" s="89" t="n"/>
      <c r="C29" s="89" t="n"/>
      <c r="D29" s="89" t="n"/>
      <c r="E29" s="89" t="n"/>
      <c r="F29" s="89" t="n"/>
      <c r="G29" s="89" t="n"/>
      <c r="H29" s="89" t="n"/>
    </row>
    <row r="30">
      <c r="A30" s="88" t="n"/>
      <c r="B30" s="89" t="n"/>
      <c r="C30" s="89" t="n"/>
      <c r="D30" s="89" t="n"/>
      <c r="E30" s="89" t="n"/>
      <c r="F30" s="89" t="n"/>
      <c r="G30" s="89" t="n"/>
      <c r="H30" s="89" t="n"/>
    </row>
    <row r="31">
      <c r="A31" s="88" t="n"/>
      <c r="B31" s="89" t="n"/>
      <c r="C31" s="89" t="n"/>
      <c r="D31" s="89" t="n"/>
      <c r="E31" s="89" t="n"/>
      <c r="F31" s="89" t="n"/>
      <c r="G31" s="89" t="n"/>
      <c r="H31" s="89" t="n"/>
    </row>
    <row r="32">
      <c r="A32" s="88" t="n"/>
      <c r="B32" s="89" t="n"/>
      <c r="C32" s="89" t="n"/>
      <c r="D32" s="89" t="n"/>
      <c r="E32" s="89" t="n"/>
      <c r="F32" s="89" t="n"/>
      <c r="G32" s="89" t="n"/>
      <c r="H32" s="89" t="n"/>
    </row>
    <row r="33">
      <c r="A33" s="88" t="n"/>
      <c r="B33" s="89" t="n"/>
      <c r="C33" s="89" t="n"/>
      <c r="D33" s="89" t="n"/>
      <c r="E33" s="89" t="n"/>
      <c r="F33" s="89" t="n"/>
      <c r="G33" s="89" t="n"/>
      <c r="H33" s="89" t="n"/>
    </row>
    <row r="34">
      <c r="A34" s="88" t="n"/>
      <c r="B34" s="89" t="n"/>
      <c r="C34" s="89" t="n"/>
      <c r="D34" s="89" t="n"/>
      <c r="E34" s="89" t="n"/>
      <c r="F34" s="89" t="n"/>
      <c r="G34" s="89" t="n"/>
      <c r="H34" s="89" t="n"/>
    </row>
    <row r="35">
      <c r="A35" s="88" t="n"/>
      <c r="B35" s="89" t="n"/>
      <c r="C35" s="89" t="n"/>
      <c r="D35" s="89" t="n"/>
      <c r="E35" s="89" t="n"/>
      <c r="F35" s="89" t="n"/>
      <c r="G35" s="89" t="n"/>
      <c r="H35" s="89" t="n"/>
    </row>
    <row r="36">
      <c r="A36" s="88" t="n"/>
      <c r="B36" s="89" t="n"/>
      <c r="C36" s="89" t="n"/>
      <c r="D36" s="89" t="n"/>
      <c r="E36" s="89" t="n"/>
      <c r="F36" s="89" t="n"/>
      <c r="G36" s="89" t="n"/>
      <c r="H36" s="89" t="n"/>
    </row>
    <row r="37">
      <c r="A37" s="88" t="n"/>
      <c r="B37" s="89" t="n"/>
      <c r="C37" s="89" t="n"/>
      <c r="D37" s="89" t="n"/>
      <c r="E37" s="89" t="n"/>
      <c r="F37" s="89" t="n"/>
      <c r="G37" s="89" t="n"/>
      <c r="H37" s="89" t="n"/>
    </row>
    <row r="38">
      <c r="A38" s="88" t="n"/>
      <c r="B38" s="89" t="n"/>
      <c r="C38" s="89" t="n"/>
      <c r="D38" s="89" t="n"/>
      <c r="E38" s="89" t="n"/>
      <c r="F38" s="89" t="n"/>
      <c r="G38" s="89" t="n"/>
      <c r="H38" s="89" t="n"/>
    </row>
    <row r="39">
      <c r="A39" s="88" t="n"/>
      <c r="B39" s="89" t="n"/>
      <c r="C39" s="89" t="n"/>
      <c r="D39" s="89" t="n"/>
      <c r="E39" s="89" t="n"/>
      <c r="F39" s="89" t="n"/>
      <c r="G39" s="89" t="n"/>
      <c r="H39" s="89" t="n"/>
    </row>
    <row r="40">
      <c r="A40" s="88" t="n"/>
      <c r="B40" s="89" t="n"/>
      <c r="C40" s="89" t="n"/>
      <c r="D40" s="89" t="n"/>
      <c r="E40" s="89" t="n"/>
      <c r="F40" s="89" t="n"/>
      <c r="G40" s="89" t="n"/>
      <c r="H40" s="89" t="n"/>
    </row>
    <row r="41">
      <c r="A41" s="88" t="n"/>
      <c r="B41" s="89" t="n"/>
      <c r="C41" s="89" t="n"/>
      <c r="D41" s="89" t="n"/>
      <c r="E41" s="89" t="n"/>
      <c r="F41" s="89" t="n"/>
      <c r="G41" s="89" t="n"/>
      <c r="H41" s="89" t="n"/>
    </row>
    <row r="42">
      <c r="A42" s="88" t="n"/>
      <c r="B42" s="89" t="n"/>
      <c r="C42" s="89" t="n"/>
      <c r="D42" s="89" t="n"/>
      <c r="E42" s="89" t="n"/>
      <c r="F42" s="89" t="n"/>
      <c r="G42" s="89" t="n"/>
      <c r="H42" s="89" t="n"/>
    </row>
    <row r="43">
      <c r="A43" s="88" t="n"/>
      <c r="B43" s="89" t="n"/>
      <c r="C43" s="89" t="n"/>
      <c r="D43" s="89" t="n"/>
      <c r="E43" s="89" t="n"/>
      <c r="F43" s="89" t="n"/>
      <c r="G43" s="89" t="n"/>
      <c r="H43" s="89" t="n"/>
    </row>
    <row r="44">
      <c r="A44" s="88" t="n"/>
      <c r="B44" s="89" t="n"/>
      <c r="C44" s="89" t="n"/>
      <c r="D44" s="89" t="n"/>
      <c r="E44" s="89" t="n"/>
      <c r="F44" s="89" t="n"/>
      <c r="G44" s="89" t="n"/>
      <c r="H44" s="89" t="n"/>
    </row>
    <row r="45">
      <c r="A45" s="88" t="n"/>
      <c r="B45" s="89" t="n"/>
      <c r="C45" s="89" t="n"/>
      <c r="D45" s="89" t="n"/>
      <c r="E45" s="89" t="n"/>
      <c r="F45" s="89" t="n"/>
      <c r="G45" s="89" t="n"/>
      <c r="H45" s="89" t="n"/>
    </row>
    <row r="46">
      <c r="A46" s="88" t="n"/>
      <c r="B46" s="89" t="n"/>
      <c r="C46" s="89" t="n"/>
      <c r="D46" s="89" t="n"/>
      <c r="E46" s="89" t="n"/>
      <c r="F46" s="89" t="n"/>
      <c r="G46" s="89" t="n"/>
      <c r="H46" s="89" t="n"/>
    </row>
    <row r="47">
      <c r="A47" s="88" t="n"/>
      <c r="B47" s="89" t="n"/>
      <c r="C47" s="89" t="n"/>
      <c r="D47" s="89" t="n"/>
      <c r="E47" s="89" t="n"/>
      <c r="F47" s="89" t="n"/>
      <c r="G47" s="89" t="n"/>
      <c r="H47" s="89" t="n"/>
    </row>
    <row r="48">
      <c r="A48" s="88" t="n"/>
      <c r="B48" s="89" t="n"/>
      <c r="C48" s="89" t="n"/>
      <c r="D48" s="89" t="n"/>
      <c r="E48" s="89" t="n"/>
      <c r="F48" s="89" t="n"/>
      <c r="G48" s="89" t="n"/>
      <c r="H48" s="89" t="n"/>
    </row>
    <row r="49">
      <c r="A49" s="88" t="n"/>
      <c r="B49" s="89" t="n"/>
      <c r="C49" s="89" t="n"/>
      <c r="D49" s="89" t="n"/>
      <c r="E49" s="89" t="n"/>
      <c r="F49" s="89" t="n"/>
      <c r="G49" s="89" t="n"/>
      <c r="H49" s="89" t="n"/>
    </row>
    <row r="50">
      <c r="A50" s="88" t="n"/>
      <c r="B50" s="89" t="n"/>
      <c r="C50" s="89" t="n"/>
      <c r="D50" s="89" t="n"/>
      <c r="E50" s="89" t="n"/>
      <c r="F50" s="89" t="n"/>
      <c r="G50" s="89" t="n"/>
      <c r="H50" s="89" t="n"/>
    </row>
    <row r="51">
      <c r="A51" s="88" t="n"/>
      <c r="B51" s="89" t="n"/>
      <c r="C51" s="89" t="n"/>
      <c r="D51" s="89" t="n"/>
      <c r="E51" s="89" t="n"/>
      <c r="F51" s="89" t="n"/>
      <c r="G51" s="89" t="n"/>
      <c r="H51" s="89" t="n"/>
    </row>
    <row r="52">
      <c r="A52" s="88" t="n"/>
      <c r="B52" s="89" t="n"/>
      <c r="C52" s="89" t="n"/>
      <c r="D52" s="89" t="n"/>
      <c r="E52" s="89" t="n"/>
      <c r="F52" s="89" t="n"/>
      <c r="G52" s="89" t="n"/>
      <c r="H52" s="89" t="n"/>
    </row>
    <row r="53">
      <c r="A53" s="88" t="n"/>
      <c r="B53" s="89" t="n"/>
      <c r="C53" s="89" t="n"/>
      <c r="D53" s="89" t="n"/>
      <c r="E53" s="89" t="n"/>
      <c r="F53" s="89" t="n"/>
      <c r="G53" s="89" t="n"/>
      <c r="H53" s="89" t="n"/>
    </row>
    <row r="54">
      <c r="A54" s="88" t="n"/>
      <c r="B54" s="89" t="n"/>
      <c r="C54" s="89" t="n"/>
      <c r="D54" s="89" t="n"/>
      <c r="E54" s="89" t="n"/>
      <c r="F54" s="89" t="n"/>
      <c r="G54" s="89" t="n"/>
      <c r="H54" s="89" t="n"/>
    </row>
    <row r="55">
      <c r="A55" s="88" t="n"/>
      <c r="B55" s="89" t="n"/>
      <c r="C55" s="89" t="n"/>
      <c r="D55" s="89" t="n"/>
      <c r="E55" s="89" t="n"/>
      <c r="F55" s="89" t="n"/>
      <c r="G55" s="89" t="n"/>
      <c r="H55" s="89" t="n"/>
    </row>
    <row r="56">
      <c r="A56" s="88" t="n"/>
      <c r="B56" s="89" t="n"/>
      <c r="C56" s="89" t="n"/>
      <c r="D56" s="89" t="n"/>
      <c r="E56" s="89" t="n"/>
      <c r="F56" s="89" t="n"/>
      <c r="G56" s="89" t="n"/>
      <c r="H56" s="89" t="n"/>
    </row>
    <row r="57">
      <c r="A57" s="88" t="n"/>
      <c r="B57" s="89" t="n"/>
      <c r="C57" s="89" t="n"/>
      <c r="D57" s="89" t="n"/>
      <c r="E57" s="89" t="n"/>
      <c r="F57" s="89" t="n"/>
      <c r="G57" s="89" t="n"/>
      <c r="H57" s="89" t="n"/>
    </row>
    <row r="58">
      <c r="A58" s="88" t="n"/>
      <c r="B58" s="89" t="n"/>
      <c r="C58" s="89" t="n"/>
      <c r="D58" s="89" t="n"/>
      <c r="E58" s="89" t="n"/>
      <c r="F58" s="89" t="n"/>
      <c r="G58" s="89" t="n"/>
      <c r="H58" s="89" t="n"/>
    </row>
    <row r="59">
      <c r="A59" s="88" t="n"/>
      <c r="B59" s="89" t="n"/>
      <c r="C59" s="89" t="n"/>
      <c r="D59" s="89" t="n"/>
      <c r="E59" s="89" t="n"/>
      <c r="F59" s="89" t="n"/>
      <c r="G59" s="89" t="n"/>
      <c r="H59" s="89" t="n"/>
    </row>
    <row r="60">
      <c r="A60" s="88" t="n"/>
      <c r="B60" s="89" t="n"/>
      <c r="C60" s="89" t="n"/>
      <c r="D60" s="89" t="n"/>
      <c r="E60" s="89" t="n"/>
      <c r="F60" s="89" t="n"/>
      <c r="G60" s="89" t="n"/>
      <c r="H60" s="89" t="n"/>
    </row>
    <row r="61">
      <c r="A61" s="88" t="n"/>
      <c r="B61" s="89" t="n"/>
      <c r="C61" s="89" t="n"/>
      <c r="D61" s="89" t="n"/>
      <c r="E61" s="89" t="n"/>
      <c r="F61" s="89" t="n"/>
      <c r="G61" s="89" t="n"/>
      <c r="H61" s="89" t="n"/>
    </row>
    <row r="62">
      <c r="A62" s="88" t="n"/>
      <c r="B62" s="89" t="n"/>
      <c r="C62" s="89" t="n"/>
      <c r="D62" s="89" t="n"/>
      <c r="E62" s="89" t="n"/>
      <c r="F62" s="89" t="n"/>
      <c r="G62" s="89" t="n"/>
      <c r="H62" s="89" t="n"/>
    </row>
    <row r="63">
      <c r="A63" s="88" t="n"/>
      <c r="B63" s="89" t="n"/>
      <c r="C63" s="89" t="n"/>
      <c r="D63" s="89" t="n"/>
      <c r="E63" s="89" t="n"/>
      <c r="F63" s="89" t="n"/>
      <c r="G63" s="89" t="n"/>
      <c r="H63" s="89" t="n"/>
    </row>
    <row r="64">
      <c r="A64" s="88" t="n"/>
      <c r="B64" s="89" t="n"/>
      <c r="C64" s="89" t="n"/>
      <c r="D64" s="89" t="n"/>
      <c r="E64" s="89" t="n"/>
      <c r="F64" s="89" t="n"/>
      <c r="G64" s="89" t="n"/>
      <c r="H64" s="89" t="n"/>
    </row>
    <row r="65">
      <c r="A65" s="88" t="n"/>
      <c r="B65" s="89" t="n"/>
      <c r="C65" s="89" t="n"/>
      <c r="D65" s="89" t="n"/>
      <c r="E65" s="89" t="n"/>
      <c r="F65" s="89" t="n"/>
      <c r="G65" s="89" t="n"/>
      <c r="H65" s="89" t="n"/>
    </row>
    <row r="66">
      <c r="A66" s="88" t="n"/>
      <c r="B66" s="89" t="n"/>
      <c r="C66" s="89" t="n"/>
      <c r="D66" s="89" t="n"/>
      <c r="E66" s="89" t="n"/>
      <c r="F66" s="89" t="n"/>
      <c r="G66" s="89" t="n"/>
      <c r="H66" s="89" t="n"/>
    </row>
    <row r="67">
      <c r="A67" s="88" t="n"/>
      <c r="B67" s="89" t="n"/>
      <c r="C67" s="89" t="n"/>
      <c r="D67" s="89" t="n"/>
      <c r="E67" s="89" t="n"/>
      <c r="F67" s="89" t="n"/>
      <c r="G67" s="89" t="n"/>
      <c r="H67" s="89" t="n"/>
    </row>
    <row r="68">
      <c r="A68" s="88" t="n"/>
      <c r="B68" s="89" t="n"/>
      <c r="C68" s="89" t="n"/>
      <c r="D68" s="89" t="n"/>
      <c r="E68" s="89" t="n"/>
      <c r="F68" s="89" t="n"/>
      <c r="G68" s="89" t="n"/>
      <c r="H68" s="89" t="n"/>
    </row>
    <row r="69">
      <c r="A69" s="88" t="n"/>
      <c r="B69" s="89" t="n"/>
      <c r="C69" s="89" t="n"/>
      <c r="D69" s="89" t="n"/>
      <c r="E69" s="89" t="n"/>
      <c r="F69" s="89" t="n"/>
      <c r="G69" s="89" t="n"/>
      <c r="H69" s="89" t="n"/>
    </row>
    <row r="70">
      <c r="A70" s="88" t="n"/>
      <c r="B70" s="89" t="n"/>
      <c r="C70" s="89" t="n"/>
      <c r="D70" s="89" t="n"/>
      <c r="E70" s="89" t="n"/>
      <c r="F70" s="89" t="n"/>
      <c r="G70" s="89" t="n"/>
      <c r="H70" s="89" t="n"/>
    </row>
    <row r="71">
      <c r="A71" s="88" t="n"/>
      <c r="B71" s="89" t="n"/>
      <c r="C71" s="89" t="n"/>
      <c r="D71" s="89" t="n"/>
      <c r="E71" s="89" t="n"/>
      <c r="F71" s="89" t="n"/>
      <c r="G71" s="89" t="n"/>
      <c r="H71" s="89" t="n"/>
    </row>
    <row r="72">
      <c r="A72" s="88" t="n"/>
      <c r="B72" s="89" t="n"/>
      <c r="C72" s="89" t="n"/>
      <c r="D72" s="89" t="n"/>
      <c r="E72" s="89" t="n"/>
      <c r="F72" s="89" t="n"/>
      <c r="G72" s="89" t="n"/>
      <c r="H72" s="89" t="n"/>
    </row>
    <row r="73">
      <c r="A73" s="88" t="n"/>
      <c r="B73" s="89" t="n"/>
      <c r="C73" s="89" t="n"/>
      <c r="D73" s="89" t="n"/>
      <c r="E73" s="89" t="n"/>
      <c r="F73" s="89" t="n"/>
      <c r="G73" s="89" t="n"/>
      <c r="H73" s="89" t="n"/>
    </row>
    <row r="74">
      <c r="A74" s="88" t="n"/>
      <c r="B74" s="89" t="n"/>
      <c r="C74" s="89" t="n"/>
      <c r="D74" s="89" t="n"/>
      <c r="E74" s="89" t="n"/>
      <c r="F74" s="89" t="n"/>
      <c r="G74" s="89" t="n"/>
      <c r="H74" s="89" t="n"/>
    </row>
    <row r="75">
      <c r="A75" s="88" t="n"/>
      <c r="B75" s="89" t="n"/>
      <c r="C75" s="89" t="n"/>
      <c r="D75" s="89" t="n"/>
      <c r="E75" s="89" t="n"/>
      <c r="F75" s="89" t="n"/>
      <c r="G75" s="89" t="n"/>
      <c r="H75" s="89" t="n"/>
    </row>
    <row r="76">
      <c r="A76" s="88" t="n"/>
      <c r="B76" s="89" t="n"/>
      <c r="C76" s="89" t="n"/>
      <c r="D76" s="89" t="n"/>
      <c r="E76" s="89" t="n"/>
      <c r="F76" s="89" t="n"/>
      <c r="G76" s="89" t="n"/>
      <c r="H76" s="89" t="n"/>
    </row>
    <row r="77">
      <c r="A77" s="88" t="n"/>
      <c r="B77" s="89" t="n"/>
      <c r="C77" s="89" t="n"/>
      <c r="D77" s="89" t="n"/>
      <c r="E77" s="89" t="n"/>
      <c r="F77" s="89" t="n"/>
      <c r="G77" s="89" t="n"/>
      <c r="H77" s="89" t="n"/>
    </row>
    <row r="78">
      <c r="A78" s="88" t="n"/>
      <c r="B78" s="89" t="n"/>
      <c r="C78" s="89" t="n"/>
      <c r="D78" s="89" t="n"/>
      <c r="E78" s="89" t="n"/>
      <c r="F78" s="89" t="n"/>
      <c r="G78" s="89" t="n"/>
      <c r="H78" s="89" t="n"/>
    </row>
    <row r="79">
      <c r="A79" s="88" t="n"/>
      <c r="B79" s="89" t="n"/>
      <c r="C79" s="89" t="n"/>
      <c r="D79" s="89" t="n"/>
      <c r="E79" s="89" t="n"/>
      <c r="F79" s="89" t="n"/>
      <c r="G79" s="89" t="n"/>
      <c r="H79" s="89" t="n"/>
    </row>
    <row r="80">
      <c r="A80" s="88" t="n"/>
      <c r="B80" s="89" t="n"/>
      <c r="C80" s="89" t="n"/>
      <c r="D80" s="89" t="n"/>
      <c r="E80" s="89" t="n"/>
      <c r="F80" s="89" t="n"/>
      <c r="G80" s="89" t="n"/>
      <c r="H80" s="89" t="n"/>
    </row>
    <row r="81">
      <c r="A81" s="88" t="n"/>
      <c r="B81" s="89" t="n"/>
      <c r="C81" s="89" t="n"/>
      <c r="D81" s="89" t="n"/>
      <c r="E81" s="89" t="n"/>
      <c r="F81" s="89" t="n"/>
      <c r="G81" s="89" t="n"/>
      <c r="H81" s="89" t="n"/>
    </row>
    <row r="82">
      <c r="A82" s="88" t="n"/>
      <c r="B82" s="89" t="n"/>
      <c r="C82" s="89" t="n"/>
      <c r="D82" s="89" t="n"/>
      <c r="E82" s="89" t="n"/>
      <c r="F82" s="89" t="n"/>
      <c r="G82" s="89" t="n"/>
      <c r="H82" s="89" t="n"/>
    </row>
    <row r="83">
      <c r="A83" s="88" t="n"/>
      <c r="B83" s="89" t="n"/>
      <c r="C83" s="89" t="n"/>
      <c r="D83" s="89" t="n"/>
      <c r="E83" s="89" t="n"/>
      <c r="F83" s="89" t="n"/>
      <c r="G83" s="89" t="n"/>
      <c r="H83" s="89" t="n"/>
    </row>
    <row r="84">
      <c r="A84" s="88" t="n"/>
      <c r="B84" s="89" t="n"/>
      <c r="C84" s="89" t="n"/>
      <c r="D84" s="89" t="n"/>
      <c r="E84" s="89" t="n"/>
      <c r="F84" s="89" t="n"/>
      <c r="G84" s="89" t="n"/>
      <c r="H84" s="89" t="n"/>
    </row>
    <row r="85">
      <c r="A85" s="88" t="n"/>
      <c r="B85" s="89" t="n"/>
      <c r="C85" s="89" t="n"/>
      <c r="D85" s="89" t="n"/>
      <c r="E85" s="89" t="n"/>
      <c r="F85" s="89" t="n"/>
      <c r="G85" s="89" t="n"/>
      <c r="H85" s="89" t="n"/>
    </row>
    <row r="86">
      <c r="A86" s="88" t="n"/>
      <c r="B86" s="89" t="n"/>
      <c r="C86" s="89" t="n"/>
      <c r="D86" s="89" t="n"/>
      <c r="E86" s="89" t="n"/>
      <c r="F86" s="89" t="n"/>
      <c r="G86" s="89" t="n"/>
      <c r="H86" s="89" t="n"/>
    </row>
    <row r="87">
      <c r="A87" s="88" t="n"/>
      <c r="B87" s="89" t="n"/>
      <c r="C87" s="89" t="n"/>
      <c r="D87" s="89" t="n"/>
      <c r="E87" s="89" t="n"/>
      <c r="F87" s="89" t="n"/>
      <c r="G87" s="89" t="n"/>
      <c r="H87" s="89" t="n"/>
    </row>
    <row r="88">
      <c r="A88" s="88" t="n"/>
      <c r="B88" s="89" t="n"/>
      <c r="C88" s="89" t="n"/>
      <c r="D88" s="89" t="n"/>
      <c r="E88" s="89" t="n"/>
      <c r="F88" s="89" t="n"/>
      <c r="G88" s="89" t="n"/>
      <c r="H88" s="89" t="n"/>
    </row>
    <row r="89">
      <c r="A89" s="88" t="n"/>
      <c r="B89" s="89" t="n"/>
      <c r="C89" s="89" t="n"/>
      <c r="D89" s="89" t="n"/>
      <c r="E89" s="89" t="n"/>
      <c r="F89" s="89" t="n"/>
      <c r="G89" s="89" t="n"/>
      <c r="H89" s="89" t="n"/>
    </row>
    <row r="90">
      <c r="A90" s="88" t="n"/>
      <c r="B90" s="89" t="n"/>
      <c r="C90" s="89" t="n"/>
      <c r="D90" s="89" t="n"/>
      <c r="E90" s="89" t="n"/>
      <c r="F90" s="89" t="n"/>
      <c r="G90" s="89" t="n"/>
      <c r="H90" s="89" t="n"/>
    </row>
    <row r="91">
      <c r="A91" s="88" t="n"/>
      <c r="B91" s="89" t="n"/>
      <c r="C91" s="89" t="n"/>
      <c r="D91" s="89" t="n"/>
      <c r="E91" s="89" t="n"/>
      <c r="F91" s="89" t="n"/>
      <c r="G91" s="89" t="n"/>
      <c r="H91" s="89" t="n"/>
    </row>
    <row r="92">
      <c r="A92" s="88" t="n"/>
      <c r="B92" s="89" t="n"/>
      <c r="C92" s="89" t="n"/>
      <c r="D92" s="89" t="n"/>
      <c r="E92" s="89" t="n"/>
      <c r="F92" s="89" t="n"/>
      <c r="G92" s="89" t="n"/>
      <c r="H92" s="89" t="n"/>
    </row>
    <row r="93">
      <c r="A93" s="88" t="n"/>
      <c r="B93" s="89" t="n"/>
      <c r="C93" s="89" t="n"/>
      <c r="D93" s="89" t="n"/>
      <c r="E93" s="89" t="n"/>
      <c r="F93" s="89" t="n"/>
      <c r="G93" s="89" t="n"/>
      <c r="H93" s="89" t="n"/>
    </row>
    <row r="94">
      <c r="A94" s="88" t="n"/>
      <c r="B94" s="89" t="n"/>
      <c r="C94" s="89" t="n"/>
      <c r="D94" s="89" t="n"/>
      <c r="E94" s="89" t="n"/>
      <c r="F94" s="89" t="n"/>
      <c r="G94" s="89" t="n"/>
      <c r="H94" s="89" t="n"/>
    </row>
    <row r="95">
      <c r="A95" s="88" t="n"/>
      <c r="B95" s="89" t="n"/>
      <c r="C95" s="89" t="n"/>
      <c r="D95" s="89" t="n"/>
      <c r="E95" s="89" t="n"/>
      <c r="F95" s="89" t="n"/>
      <c r="G95" s="89" t="n"/>
      <c r="H95" s="89" t="n"/>
    </row>
    <row r="96">
      <c r="A96" s="88" t="n"/>
      <c r="B96" s="89" t="n"/>
      <c r="C96" s="89" t="n"/>
      <c r="D96" s="89" t="n"/>
      <c r="E96" s="89" t="n"/>
      <c r="F96" s="89" t="n"/>
      <c r="G96" s="89" t="n"/>
      <c r="H96" s="89" t="n"/>
    </row>
    <row r="97">
      <c r="A97" s="88" t="n"/>
      <c r="B97" s="89" t="n"/>
      <c r="C97" s="89" t="n"/>
      <c r="D97" s="89" t="n"/>
      <c r="E97" s="89" t="n"/>
      <c r="F97" s="89" t="n"/>
      <c r="G97" s="89" t="n"/>
      <c r="H97" s="89" t="n"/>
    </row>
    <row r="98">
      <c r="A98" s="88" t="n"/>
      <c r="B98" s="89" t="n"/>
      <c r="C98" s="89" t="n"/>
      <c r="D98" s="89" t="n"/>
      <c r="E98" s="89" t="n"/>
      <c r="F98" s="89" t="n"/>
      <c r="G98" s="89" t="n"/>
      <c r="H98" s="89" t="n"/>
    </row>
    <row r="99">
      <c r="A99" s="88" t="n"/>
      <c r="B99" s="89" t="n"/>
      <c r="C99" s="89" t="n"/>
      <c r="D99" s="89" t="n"/>
      <c r="E99" s="89" t="n"/>
      <c r="F99" s="89" t="n"/>
      <c r="G99" s="89" t="n"/>
      <c r="H99" s="89" t="n"/>
    </row>
    <row r="100">
      <c r="A100" s="88" t="n"/>
      <c r="B100" s="89" t="n"/>
      <c r="C100" s="89" t="n"/>
      <c r="D100" s="89" t="n"/>
      <c r="E100" s="89" t="n"/>
      <c r="F100" s="89" t="n"/>
      <c r="G100" s="89" t="n"/>
      <c r="H100" s="89" t="n"/>
    </row>
    <row r="101">
      <c r="A101" s="88" t="n"/>
      <c r="B101" s="89" t="n"/>
      <c r="C101" s="89" t="n"/>
      <c r="D101" s="89" t="n"/>
      <c r="E101" s="89" t="n"/>
      <c r="F101" s="89" t="n"/>
      <c r="G101" s="89" t="n"/>
      <c r="H101" s="89" t="n"/>
    </row>
    <row r="102">
      <c r="A102" s="88" t="n"/>
      <c r="B102" s="89" t="n"/>
      <c r="C102" s="89" t="n"/>
      <c r="D102" s="89" t="n"/>
      <c r="E102" s="89" t="n"/>
      <c r="F102" s="89" t="n"/>
      <c r="G102" s="89" t="n"/>
      <c r="H102" s="89" t="n"/>
    </row>
    <row r="103">
      <c r="A103" s="88" t="n"/>
      <c r="B103" s="89" t="n"/>
      <c r="C103" s="89" t="n"/>
      <c r="D103" s="89" t="n"/>
      <c r="E103" s="89" t="n"/>
      <c r="F103" s="89" t="n"/>
      <c r="G103" s="89" t="n"/>
      <c r="H103" s="8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2026-10-16T08:18:31Z</dcterms:created>
  <dcterms:modified xmlns:dcterms="http://purl.org/dc/terms/" xmlns:xsi="http://www.w3.org/2001/XMLSchema-instance" xsi:type="dcterms:W3CDTF">2026-10-16T08:18:32Z</dcterms:modified>
</cp:coreProperties>
</file>