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VO2max_중재" sheetId="2" state="visible" r:id="rId2"/>
    <sheet xmlns:r="http://schemas.openxmlformats.org/officeDocument/2006/relationships" name="VO2max_기준값" sheetId="3" state="visible" r:id="rId3"/>
    <sheet xmlns:r="http://schemas.openxmlformats.org/officeDocument/2006/relationships" name="FMS총점_중재" sheetId="4" state="visible" r:id="rId4"/>
    <sheet xmlns:r="http://schemas.openxmlformats.org/officeDocument/2006/relationships" name="FMS총점_기준값" sheetId="5" state="visible" r:id="rId5"/>
    <sheet xmlns:r="http://schemas.openxmlformats.org/officeDocument/2006/relationships" name="FMS하위항목" sheetId="6" state="visible" r:id="rId6"/>
    <sheet xmlns:r="http://schemas.openxmlformats.org/officeDocument/2006/relationships" name="메타분석" sheetId="7" state="visible" r:id="rId7"/>
    <sheet xmlns:r="http://schemas.openxmlformats.org/officeDocument/2006/relationships" name="참고범위_요약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+0.0%;-0.0%;0.0%"/>
    <numFmt numFmtId="166" formatCode="0.0"/>
  </numFmts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0"/>
    </font>
    <font>
      <name val="맑은 고딕"/>
      <sz val="10"/>
    </font>
    <font>
      <name val="맑은 고딕"/>
      <b val="1"/>
      <sz val="13"/>
    </font>
    <font>
      <name val="맑은 고딕"/>
      <color rgb="00595959"/>
      <sz val="9"/>
    </font>
    <font>
      <name val="맑은 고딕"/>
      <b val="1"/>
      <color rgb="00FFFFFF"/>
      <sz val="9"/>
    </font>
    <font>
      <name val="맑은 고딕"/>
      <sz val="9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7E6E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165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2" fontId="7" fillId="3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165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166" fontId="7" fillId="4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esearchgate.net/publication/311446299_Effect_of_high_intensity_interval_training_on_cardiopulmonary_function_in_Taekwon-do_ITF_athletes" TargetMode="External" Id="rId1"/><Relationship Type="http://schemas.openxmlformats.org/officeDocument/2006/relationships/hyperlink" Target="https://www.researchgate.net/publication/311446299_Effect_of_high_intensity_interval_training_on_cardiopulmonary_function_in_Taekwon-do_ITF_athletes" TargetMode="External" Id="rId2"/><Relationship Type="http://schemas.openxmlformats.org/officeDocument/2006/relationships/hyperlink" Target="https://onlinelibrary.wiley.com/doi/10.1002/ejsc.70050" TargetMode="External" Id="rId3"/><Relationship Type="http://schemas.openxmlformats.org/officeDocument/2006/relationships/hyperlink" Target="https://onlinelibrary.wiley.com/doi/10.1002/ejsc.70050" TargetMode="External" Id="rId4"/><Relationship Type="http://schemas.openxmlformats.org/officeDocument/2006/relationships/hyperlink" Target="https://onlinelibrary.wiley.com/doi/10.1002/ejsc.70050" TargetMode="External" Id="rId5"/><Relationship Type="http://schemas.openxmlformats.org/officeDocument/2006/relationships/hyperlink" Target="https://pubmed.ncbi.nlm.nih.gov/31288289/" TargetMode="External" Id="rId6"/><Relationship Type="http://schemas.openxmlformats.org/officeDocument/2006/relationships/hyperlink" Target="https://www.minervamedica.it/en/journals/sports-med-physical-fitness/article.php?cod=R40Y2017N10A1252" TargetMode="External" Id="rId7"/><Relationship Type="http://schemas.openxmlformats.org/officeDocument/2006/relationships/hyperlink" Target="https://pubmed.ncbi.nlm.nih.gov/39228785/" TargetMode="External" Id="rId8"/><Relationship Type="http://schemas.openxmlformats.org/officeDocument/2006/relationships/hyperlink" Target="https://digilib.unimed.ac.id/68226/3/6221210001_Abstrak.pdf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rontiersin.org/journals/physiology/articles/10.3389/fphys.2025.1661237/full" TargetMode="External" Id="rId1"/><Relationship Type="http://schemas.openxmlformats.org/officeDocument/2006/relationships/hyperlink" Target="https://www.frontiersin.org/journals/physiology/articles/10.3389/fphys.2025.1661237/full" TargetMode="External" Id="rId2"/><Relationship Type="http://schemas.openxmlformats.org/officeDocument/2006/relationships/hyperlink" Target="https://zenodo.org/records/14729990" TargetMode="External" Id="rId3"/><Relationship Type="http://schemas.openxmlformats.org/officeDocument/2006/relationships/hyperlink" Target="https://zenodo.org/records/14729990" TargetMode="External" Id="rId4"/><Relationship Type="http://schemas.openxmlformats.org/officeDocument/2006/relationships/hyperlink" Target="https://brieflands.com/articles/asjsm-94796" TargetMode="External" Id="rId5"/><Relationship Type="http://schemas.openxmlformats.org/officeDocument/2006/relationships/hyperlink" Target="https://www.iat.uni-leipzig.de/datenbanken/iks/dfb-fechten/Record/4053069" TargetMode="External" Id="rId6"/><Relationship Type="http://schemas.openxmlformats.org/officeDocument/2006/relationships/hyperlink" Target="https://www.iat.uni-leipzig.de/datenbanken/iks/dfb-fechten/Record/4053069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pubmed.ncbi.nlm.nih.gov/23860293/" TargetMode="External" Id="rId1"/><Relationship Type="http://schemas.openxmlformats.org/officeDocument/2006/relationships/hyperlink" Target="https://pubmed.ncbi.nlm.nih.gov/23860293/" TargetMode="External" Id="rId2"/><Relationship Type="http://schemas.openxmlformats.org/officeDocument/2006/relationships/hyperlink" Target="https://www.functionalmovement.com/files/articles/79a_fms_intervention_10.07.pdf" TargetMode="External" Id="rId3"/><Relationship Type="http://schemas.openxmlformats.org/officeDocument/2006/relationships/hyperlink" Target="https://www.functionalmovement.com/files/articles/79a_fms_intervention_10.07.pdf" TargetMode="External" Id="rId4"/><Relationship Type="http://schemas.openxmlformats.org/officeDocument/2006/relationships/hyperlink" Target="https://peerj.com/articles/16878.pdf" TargetMode="External" Id="rId5"/><Relationship Type="http://schemas.openxmlformats.org/officeDocument/2006/relationships/hyperlink" Target="https://lida.sport-iat.de/ta/Record/4092861?lng=en" TargetMode="External" Id="rId6"/><Relationship Type="http://schemas.openxmlformats.org/officeDocument/2006/relationships/hyperlink" Target="https://www.researchgate.net/publication/314080729_Active_duty_firefighters_can_improve_Functional_Movement_Screen_FMS_scores_following_an_8-week_individualized_client_workout_program" TargetMode="External" Id="rId7"/><Relationship Type="http://schemas.openxmlformats.org/officeDocument/2006/relationships/hyperlink" Target="https://www.backfitpro.com/medical-scientific-articles/2015/%5B26%5D-Frost,D.M.-(2015)-FMS-scores-change-with-performer's-knowledge-of-the-grading-criteria-%5BJ.-Strength-Cond.-Res.%5D.pdf" TargetMode="External" Id="rId8"/><Relationship Type="http://schemas.openxmlformats.org/officeDocument/2006/relationships/hyperlink" Target="https://journalofsportsmedicine.org/abstract/482/eng" TargetMode="External" Id="rId9"/><Relationship Type="http://schemas.openxmlformats.org/officeDocument/2006/relationships/hyperlink" Target="https://www.kci.go.kr/kciportal/landing/article.kci?arti_id=ART003346567" TargetMode="External" Id="rId10"/><Relationship Type="http://schemas.openxmlformats.org/officeDocument/2006/relationships/hyperlink" Target="https://www.kci.go.kr/kciportal/ci/sereArticleSearch/ciSereArtiView.kci?sereArticleSearchBean.artiId=ART002194434" TargetMode="External" Id="rId11"/></Relationships>
</file>

<file path=xl/worksheets/_rels/sheet5.xml.rels><Relationships xmlns="http://schemas.openxmlformats.org/package/2006/relationships"><Relationship Type="http://schemas.openxmlformats.org/officeDocument/2006/relationships/hyperlink" Target="https://researchdiscovery.drexel.edu/esploro/outputs/journalArticle/Do-Normative-Composite-Scores-on-the/991019167434504721" TargetMode="External" Id="rId1"/><Relationship Type="http://schemas.openxmlformats.org/officeDocument/2006/relationships/hyperlink" Target="https://researchdiscovery.drexel.edu/esploro/outputs/journalArticle/Do-Normative-Composite-Scores-on-the/991019167434504721" TargetMode="External" Id="rId2"/><Relationship Type="http://schemas.openxmlformats.org/officeDocument/2006/relationships/hyperlink" Target="https://researchdiscovery.drexel.edu/esploro/outputs/journalArticle/Do-Normative-Composite-Scores-on-the/991019167434504721" TargetMode="External" Id="rId3"/><Relationship Type="http://schemas.openxmlformats.org/officeDocument/2006/relationships/hyperlink" Target="https://www.researchgate.net/publication/51452094_Functional_Movement_Screen_Normative_values_in_a_young_active_population" TargetMode="External" Id="rId4"/><Relationship Type="http://schemas.openxmlformats.org/officeDocument/2006/relationships/hyperlink" Target="https://www.sciencedirect.com/science/article/abs/pii/S1466853X13001089" TargetMode="External" Id="rId5"/><Relationship Type="http://schemas.openxmlformats.org/officeDocument/2006/relationships/hyperlink" Target="https://pmc.ncbi.nlm.nih.gov/articles/PMC4325285/" TargetMode="External" Id="rId6"/><Relationship Type="http://schemas.openxmlformats.org/officeDocument/2006/relationships/hyperlink" Target="https://ijspt.scholasticahq.com/article/19443-functional-movement-screen-detected-asymmetry-normative-values-among-college-aged-students" TargetMode="External" Id="rId7"/></Relationships>
</file>

<file path=xl/worksheets/_rels/sheet6.xml.rels><Relationships xmlns="http://schemas.openxmlformats.org/package/2006/relationships"><Relationship Type="http://schemas.openxmlformats.org/officeDocument/2006/relationships/hyperlink" Target="https://www.backfitpro.com/medical-scientific-articles/2015/%5B26%5D-Frost,D.M.-(2015)-FMS-scores-change-with-performer's-knowledge-of-the-grading-criteria-%5BJ.-Strength-Cond.-Res.%5D.pdf" TargetMode="External" Id="rId1"/><Relationship Type="http://schemas.openxmlformats.org/officeDocument/2006/relationships/hyperlink" Target="https://www.backfitpro.com/medical-scientific-articles/2015/%5B26%5D-Frost,D.M.-(2015)-FMS-scores-change-with-performer's-knowledge-of-the-grading-criteria-%5BJ.-Strength-Cond.-Res.%5D.pdf" TargetMode="External" Id="rId2"/><Relationship Type="http://schemas.openxmlformats.org/officeDocument/2006/relationships/hyperlink" Target="https://www.backfitpro.com/medical-scientific-articles/2015/%5B26%5D-Frost,D.M.-(2015)-FMS-scores-change-with-performer's-knowledge-of-the-grading-criteria-%5BJ.-Strength-Cond.-Res.%5D.pdf" TargetMode="External" Id="rId3"/><Relationship Type="http://schemas.openxmlformats.org/officeDocument/2006/relationships/hyperlink" Target="https://www.backfitpro.com/medical-scientific-articles/2015/%5B26%5D-Frost,D.M.-(2015)-FMS-scores-change-with-performer's-knowledge-of-the-grading-criteria-%5BJ.-Strength-Cond.-Res.%5D.pdf" TargetMode="External" Id="rId4"/><Relationship Type="http://schemas.openxmlformats.org/officeDocument/2006/relationships/hyperlink" Target="https://www.researchgate.net/publication/278330710_Functional_movement_screen_normative_values_and_validity_in_high_school_athletes_can_the_FMS_be_used_as_a_predictor_of_injury" TargetMode="External" Id="rId5"/><Relationship Type="http://schemas.openxmlformats.org/officeDocument/2006/relationships/hyperlink" Target="https://www.researchgate.net/publication/278330710_Functional_movement_screen_normative_values_and_validity_in_high_school_athletes_can_the_FMS_be_used_as_a_predictor_of_injury" TargetMode="External" Id="rId6"/><Relationship Type="http://schemas.openxmlformats.org/officeDocument/2006/relationships/hyperlink" Target="https://www.researchgate.net/publication/278330710_Functional_movement_screen_normative_values_and_validity_in_high_school_athletes_can_the_FMS_be_used_as_a_predictor_of_injury" TargetMode="External" Id="rId7"/><Relationship Type="http://schemas.openxmlformats.org/officeDocument/2006/relationships/hyperlink" Target="https://www.researchgate.net/publication/278330710_Functional_movement_screen_normative_values_and_validity_in_high_school_athletes_can_the_FMS_be_used_as_a_predictor_of_injury" TargetMode="External" Id="rId8"/><Relationship Type="http://schemas.openxmlformats.org/officeDocument/2006/relationships/hyperlink" Target="https://koreascience.kr/article/JAKO201734549518480.pdf" TargetMode="External" Id="rId9"/><Relationship Type="http://schemas.openxmlformats.org/officeDocument/2006/relationships/hyperlink" Target="https://koreascience.kr/article/JAKO201734549518480.pdf" TargetMode="External" Id="rId1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ovid.com/jnls/nsca-jscr/fulltext/10.1519/jsc.0000000000003255~effects-of-high-intensity-interval-training-in-combat-sports" TargetMode="External" Id="rId1"/><Relationship Type="http://schemas.openxmlformats.org/officeDocument/2006/relationships/hyperlink" Target="https://www.frontiersin.org/journals/nutrition/articles/10.3389/fnut.2026.1792680/full" TargetMode="External" Id="rId2"/><Relationship Type="http://schemas.openxmlformats.org/officeDocument/2006/relationships/hyperlink" Target="https://www.ncbi.nlm.nih.gov/pmc/articles/PMC10279791/" TargetMode="External" Id="rId3"/><Relationship Type="http://schemas.openxmlformats.org/officeDocument/2006/relationships/hyperlink" Target="https://www.nature.com/articles/s41598-025-12371-2" TargetMode="External" Id="rId4"/><Relationship Type="http://schemas.openxmlformats.org/officeDocument/2006/relationships/hyperlink" Target="https://www.nature.com/articles/s41598-025-12371-2" TargetMode="External" Id="rId5"/><Relationship Type="http://schemas.openxmlformats.org/officeDocument/2006/relationships/hyperlink" Target="https://www.nature.com/articles/s41598-025-12371-2" TargetMode="External" Id="rId6"/><Relationship Type="http://schemas.openxmlformats.org/officeDocument/2006/relationships/hyperlink" Target="https://www.nature.com/articles/s41598-025-12371-2" TargetMode="External" Id="rId7"/><Relationship Type="http://schemas.openxmlformats.org/officeDocument/2006/relationships/hyperlink" Target="https://www.nature.com/articles/s41598-025-12371-2" TargetMode="External" Id="rId8"/><Relationship Type="http://schemas.openxmlformats.org/officeDocument/2006/relationships/hyperlink" Target="https://www.nature.com/articles/s41598-025-12371-2" TargetMode="External" Id="rId9"/><Relationship Type="http://schemas.openxmlformats.org/officeDocument/2006/relationships/hyperlink" Target="https://ijspt.scholasticahq.com/article/31001-effective-interventions-for-improving-functional-movement-screen-scores-among-high-risk-athletes-a-systematic-review" TargetMode="External" Id="rId10"/><Relationship Type="http://schemas.openxmlformats.org/officeDocument/2006/relationships/hyperlink" Target="https://www.jospt.org/doi/10.2519/jospt.2012.383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선행연구 VO2max·FMS 사전/사후 값 정리</t>
        </is>
      </c>
    </row>
    <row r="3" ht="46" customHeight="1">
      <c r="A3" s="2" t="inlineStr">
        <is>
          <t>용도</t>
        </is>
      </c>
      <c r="B3" s="3" t="inlineStr">
        <is>
          <t>재분석 결과가 선행연구 범위 안에 있는지 확인하고, 논의에서 선행연구와 비교하기 위한 참고 자료입니다. 이 연구의 결과(원고 표 3·4)에 넣는 값이 아닙니다. 이 연구의 결과는 '사전사후_입력시트'에 입력한 원자료에서 계산합니다.</t>
        </is>
      </c>
    </row>
    <row r="4" ht="46" customHeight="1">
      <c r="A4" s="2" t="inlineStr">
        <is>
          <t>수치 출처</t>
        </is>
      </c>
      <c r="B4" s="3" t="inlineStr">
        <is>
          <t>논문 초록과 2차 요약(메타분석 표, 서지 데이터베이스)에서 확인한 값입니다. 원문 사이트에 직접 접속하지 못했으므로 논문에 인용하기 전에 원문 표로 다시 확인하세요.</t>
        </is>
      </c>
    </row>
    <row r="5" ht="22" customHeight="1">
      <c r="A5" s="4" t="inlineStr">
        <is>
          <t>노란 칸</t>
        </is>
      </c>
      <c r="B5" s="3" t="inlineStr">
        <is>
          <t>'원문 확인' = 초록에 수치가 없어 원문 표에서만 확인할 수 있는 값</t>
        </is>
      </c>
    </row>
    <row r="6" ht="22" customHeight="1">
      <c r="A6" s="5" t="inlineStr">
        <is>
          <t>회색 행</t>
        </is>
      </c>
      <c r="B6" s="3" t="inlineStr">
        <is>
          <t>측정 프로토콜이 이 연구와 달라 직접 비교에서 제외하는 연구(예: 셔틀런 현장검사로 추정한 VO2max)</t>
        </is>
      </c>
    </row>
    <row r="7" ht="22" customHeight="1">
      <c r="A7" s="6" t="inlineStr">
        <is>
          <t>회색 칸(자동)</t>
        </is>
      </c>
      <c r="B7" s="3" t="inlineStr">
        <is>
          <t>변화량(사후−사전)과 변화율은 사전·사후 평균이 모두 있을 때 자동 계산됩니다</t>
        </is>
      </c>
    </row>
    <row r="8" ht="46" customHeight="1">
      <c r="A8" s="2" t="inlineStr">
        <is>
          <t>이 연구의 프로토콜</t>
        </is>
      </c>
      <c r="B8" s="3" t="inlineStr">
        <is>
          <t>VO2max: 트레드밀 점증부하검사(호흡가스 직접측정). FMS: Cook 등(2014) 표준 7항목, 0–3점, 좌우 중 낮은 점수, clearing test 통증 시 0점, 총점 0–21점. 이 기준과 같은 방식으로 측정한 연구를 우선 비교 대상으로 했습니다.</t>
        </is>
      </c>
    </row>
    <row r="9" ht="22" customHeight="1">
      <c r="A9" s="2" t="inlineStr">
        <is>
          <t>시트 구성</t>
        </is>
      </c>
      <c r="B9" s="3" t="inlineStr">
        <is>
          <t>VO2max_중재 · VO2max_기준값 · FMS총점_중재 · FMS총점_기준값 · FMS하위항목 · 메타분석 · 참고범위_요약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6" customWidth="1" min="3" max="3"/>
    <col width="24" customWidth="1" min="4" max="4"/>
    <col width="18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26" customWidth="1" min="13" max="13"/>
    <col width="26" customWidth="1" min="14" max="14"/>
    <col width="10" customWidth="1" min="15" max="15"/>
  </cols>
  <sheetData>
    <row r="1">
      <c r="A1" s="7" t="inlineStr">
        <is>
          <t>VO2max 중재연구 사전/사후 (mL/kg/min)</t>
        </is>
      </c>
    </row>
    <row r="2" ht="30" customHeight="1">
      <c r="A2" s="8" t="inlineStr">
        <is>
          <t>같은 행의 사전·사후는 같은 집단의 평균±표준편차입니다. 변화율만 보고된 연구는 '보고된 변화·결과' 열에 적었습니다.</t>
        </is>
      </c>
    </row>
    <row r="4" ht="32" customHeight="1">
      <c r="A4" s="9" t="inlineStr">
        <is>
          <t>연구</t>
        </is>
      </c>
      <c r="B4" s="9" t="inlineStr">
        <is>
          <t>대상</t>
        </is>
      </c>
      <c r="C4" s="9" t="inlineStr">
        <is>
          <t>n</t>
        </is>
      </c>
      <c r="D4" s="9" t="inlineStr">
        <is>
          <t>중재·기간</t>
        </is>
      </c>
      <c r="E4" s="9" t="inlineStr">
        <is>
          <t>측정 프로토콜</t>
        </is>
      </c>
      <c r="F4" s="9" t="inlineStr">
        <is>
          <t>집단</t>
        </is>
      </c>
      <c r="G4" s="9" t="inlineStr">
        <is>
          <t>사전 M</t>
        </is>
      </c>
      <c r="H4" s="9" t="inlineStr">
        <is>
          <t>사전 SD</t>
        </is>
      </c>
      <c r="I4" s="9" t="inlineStr">
        <is>
          <t>사후 M</t>
        </is>
      </c>
      <c r="J4" s="9" t="inlineStr">
        <is>
          <t>사후 SD</t>
        </is>
      </c>
      <c r="K4" s="9" t="inlineStr">
        <is>
          <t>변화량
(자동)</t>
        </is>
      </c>
      <c r="L4" s="9" t="inlineStr">
        <is>
          <t>변화율
(자동)</t>
        </is>
      </c>
      <c r="M4" s="9" t="inlineStr">
        <is>
          <t>보고된 변화·결과</t>
        </is>
      </c>
      <c r="N4" s="9" t="inlineStr">
        <is>
          <t>근거 수준 / 비고</t>
        </is>
      </c>
      <c r="O4" s="9" t="inlineStr">
        <is>
          <t>출처</t>
        </is>
      </c>
    </row>
    <row r="5" ht="44" customHeight="1">
      <c r="A5" s="10" t="inlineStr">
        <is>
          <t>Batra &amp; Zatoń (2016), J Combat Sports Martial Arts</t>
        </is>
      </c>
      <c r="B5" s="10" t="inlineStr">
        <is>
          <t>ITF 태권도 수련자(남)</t>
        </is>
      </c>
      <c r="C5" s="11" t="n">
        <v>20</v>
      </c>
      <c r="D5" s="10" t="inlineStr">
        <is>
          <t>8주, 정규 수련(주 3회)에 주 2회 인터벌 추가</t>
        </is>
      </c>
      <c r="E5" s="10" t="inlineStr">
        <is>
          <t>트레드밀 점증부하, 직접측정</t>
        </is>
      </c>
      <c r="F5" s="11" t="inlineStr">
        <is>
          <t>실험군</t>
        </is>
      </c>
      <c r="G5" s="12" t="n">
        <v>50.13</v>
      </c>
      <c r="H5" s="12" t="n">
        <v>3.81</v>
      </c>
      <c r="I5" s="12" t="n">
        <v>53.16</v>
      </c>
      <c r="J5" s="13" t="inlineStr">
        <is>
          <t>원문 확인</t>
        </is>
      </c>
      <c r="K5" s="14">
        <f>IF(AND(ISNUMBER(G5),ISNUMBER(I5)),I5-G5,"")</f>
        <v/>
      </c>
      <c r="L5" s="15">
        <f>IF(AND(ISNUMBER(G5),ISNUMBER(I5)),IF(G5&lt;&gt;0,(I5-G5)/G5,""),"")</f>
        <v/>
      </c>
      <c r="M5" s="10" t="inlineStr">
        <is>
          <t>유의하게 증가(p ≤ .05)</t>
        </is>
      </c>
      <c r="N5" s="10" t="inlineStr">
        <is>
          <t>이 연구와 프로토콜 가장 유사. 사후 SD 원문 확인</t>
        </is>
      </c>
      <c r="O5" s="16" t="inlineStr">
        <is>
          <t>링크</t>
        </is>
      </c>
    </row>
    <row r="6" ht="44" customHeight="1">
      <c r="A6" s="10" t="inlineStr">
        <is>
          <t>Batra &amp; Zatoń (2016)</t>
        </is>
      </c>
      <c r="B6" s="10" t="inlineStr">
        <is>
          <t>ITF 태권도 수련자(남)</t>
        </is>
      </c>
      <c r="C6" s="13" t="inlineStr">
        <is>
          <t>원문 확인</t>
        </is>
      </c>
      <c r="D6" s="10" t="inlineStr">
        <is>
          <t>정규 수련</t>
        </is>
      </c>
      <c r="E6" s="10" t="inlineStr">
        <is>
          <t>트레드밀 점증부하, 직접측정</t>
        </is>
      </c>
      <c r="F6" s="11" t="inlineStr">
        <is>
          <t>통제군</t>
        </is>
      </c>
      <c r="G6" s="13" t="inlineStr">
        <is>
          <t>원문 확인</t>
        </is>
      </c>
      <c r="H6" s="13" t="inlineStr">
        <is>
          <t>원문 확인</t>
        </is>
      </c>
      <c r="I6" s="13" t="inlineStr">
        <is>
          <t>원문 확인</t>
        </is>
      </c>
      <c r="J6" s="13" t="inlineStr">
        <is>
          <t>원문 확인</t>
        </is>
      </c>
      <c r="K6" s="14">
        <f>IF(AND(ISNUMBER(G6),ISNUMBER(I6)),I6-G6,"")</f>
        <v/>
      </c>
      <c r="L6" s="15">
        <f>IF(AND(ISNUMBER(G6),ISNUMBER(I6)),IF(G6&lt;&gt;0,(I6-G6)/G6,""),"")</f>
        <v/>
      </c>
      <c r="M6" s="10" t="inlineStr">
        <is>
          <t>유의한 변화 없음</t>
        </is>
      </c>
      <c r="N6" s="10" t="inlineStr">
        <is>
          <t>통제군 수치 원문 확인</t>
        </is>
      </c>
      <c r="O6" s="16" t="inlineStr">
        <is>
          <t>링크</t>
        </is>
      </c>
    </row>
    <row r="7" ht="44" customHeight="1">
      <c r="A7" s="10" t="inlineStr">
        <is>
          <t>Xu 외 (2025), Eur J Sport Sci</t>
        </is>
      </c>
      <c r="B7" s="10" t="inlineStr">
        <is>
          <t>청소년 태권도 16–20세</t>
        </is>
      </c>
      <c r="C7" s="11" t="n">
        <v>30</v>
      </c>
      <c r="D7" s="10" t="inlineStr">
        <is>
          <t>HIIT 30초:10초</t>
        </is>
      </c>
      <c r="E7" s="10" t="inlineStr">
        <is>
          <t>VO2peak</t>
        </is>
      </c>
      <c r="F7" s="11" t="inlineStr">
        <is>
          <t>HIIT-30S</t>
        </is>
      </c>
      <c r="G7" s="13" t="inlineStr">
        <is>
          <t>원문 확인</t>
        </is>
      </c>
      <c r="H7" s="13" t="inlineStr">
        <is>
          <t>원문 확인</t>
        </is>
      </c>
      <c r="I7" s="13" t="inlineStr">
        <is>
          <t>원문 확인</t>
        </is>
      </c>
      <c r="J7" s="13" t="inlineStr">
        <is>
          <t>원문 확인</t>
        </is>
      </c>
      <c r="K7" s="14">
        <f>IF(AND(ISNUMBER(G7),ISNUMBER(I7)),I7-G7,"")</f>
        <v/>
      </c>
      <c r="L7" s="15">
        <f>IF(AND(ISNUMBER(G7),ISNUMBER(I7)),IF(G7&lt;&gt;0,(I7-G7)/G7,""),"")</f>
        <v/>
      </c>
      <c r="M7" s="10" t="inlineStr">
        <is>
          <t>+4.72%</t>
        </is>
      </c>
      <c r="N7" s="10" t="inlineStr">
        <is>
          <t>절대값 원문 확인</t>
        </is>
      </c>
      <c r="O7" s="16" t="inlineStr">
        <is>
          <t>링크</t>
        </is>
      </c>
    </row>
    <row r="8" ht="44" customHeight="1">
      <c r="A8" s="10" t="inlineStr">
        <is>
          <t>Xu 외 (2025)</t>
        </is>
      </c>
      <c r="B8" s="10" t="inlineStr">
        <is>
          <t>청소년 태권도 16–20세</t>
        </is>
      </c>
      <c r="C8" s="13" t="inlineStr">
        <is>
          <t>원문 확인</t>
        </is>
      </c>
      <c r="D8" s="10" t="inlineStr">
        <is>
          <t>HIIT 20초:10초</t>
        </is>
      </c>
      <c r="E8" s="10" t="inlineStr">
        <is>
          <t>VO2peak</t>
        </is>
      </c>
      <c r="F8" s="11" t="inlineStr">
        <is>
          <t>HIIT-20S</t>
        </is>
      </c>
      <c r="G8" s="13" t="inlineStr">
        <is>
          <t>원문 확인</t>
        </is>
      </c>
      <c r="H8" s="13" t="inlineStr">
        <is>
          <t>원문 확인</t>
        </is>
      </c>
      <c r="I8" s="13" t="inlineStr">
        <is>
          <t>원문 확인</t>
        </is>
      </c>
      <c r="J8" s="13" t="inlineStr">
        <is>
          <t>원문 확인</t>
        </is>
      </c>
      <c r="K8" s="14">
        <f>IF(AND(ISNUMBER(G8),ISNUMBER(I8)),I8-G8,"")</f>
        <v/>
      </c>
      <c r="L8" s="15">
        <f>IF(AND(ISNUMBER(G8),ISNUMBER(I8)),IF(G8&lt;&gt;0,(I8-G8)/G8,""),"")</f>
        <v/>
      </c>
      <c r="M8" s="10" t="inlineStr">
        <is>
          <t>+1.96%</t>
        </is>
      </c>
      <c r="N8" s="10" t="inlineStr">
        <is>
          <t>절대값 원문 확인</t>
        </is>
      </c>
      <c r="O8" s="16" t="inlineStr">
        <is>
          <t>링크</t>
        </is>
      </c>
    </row>
    <row r="9" ht="44" customHeight="1">
      <c r="A9" s="10" t="inlineStr">
        <is>
          <t>Xu 외 (2025)</t>
        </is>
      </c>
      <c r="B9" s="10" t="inlineStr">
        <is>
          <t>청소년 태권도 16–20세</t>
        </is>
      </c>
      <c r="C9" s="13" t="inlineStr">
        <is>
          <t>원문 확인</t>
        </is>
      </c>
      <c r="D9" s="10" t="inlineStr">
        <is>
          <t>정규훈련</t>
        </is>
      </c>
      <c r="E9" s="10" t="inlineStr">
        <is>
          <t>VO2peak</t>
        </is>
      </c>
      <c r="F9" s="11" t="inlineStr">
        <is>
          <t>통제군</t>
        </is>
      </c>
      <c r="G9" s="13" t="inlineStr">
        <is>
          <t>원문 확인</t>
        </is>
      </c>
      <c r="H9" s="13" t="inlineStr">
        <is>
          <t>원문 확인</t>
        </is>
      </c>
      <c r="I9" s="13" t="inlineStr">
        <is>
          <t>원문 확인</t>
        </is>
      </c>
      <c r="J9" s="13" t="inlineStr">
        <is>
          <t>원문 확인</t>
        </is>
      </c>
      <c r="K9" s="14">
        <f>IF(AND(ISNUMBER(G9),ISNUMBER(I9)),I9-G9,"")</f>
        <v/>
      </c>
      <c r="L9" s="15">
        <f>IF(AND(ISNUMBER(G9),ISNUMBER(I9)),IF(G9&lt;&gt;0,(I9-G9)/G9,""),"")</f>
        <v/>
      </c>
      <c r="M9" s="10" t="inlineStr">
        <is>
          <t>+0.47%</t>
        </is>
      </c>
      <c r="N9" s="10" t="inlineStr">
        <is>
          <t>절대값 원문 확인</t>
        </is>
      </c>
      <c r="O9" s="16" t="inlineStr">
        <is>
          <t>링크</t>
        </is>
      </c>
    </row>
    <row r="10" ht="44" customHeight="1">
      <c r="A10" s="10" t="inlineStr">
        <is>
          <t>운동:휴식 비율별 HIIT (2019)</t>
        </is>
      </c>
      <c r="B10" s="10" t="inlineStr">
        <is>
          <t>남자 태권도 15–18세</t>
        </is>
      </c>
      <c r="C10" s="11" t="n">
        <v>47</v>
      </c>
      <c r="D10" s="10" t="inlineStr">
        <is>
          <t>HIIT 3개 비율 + 통제군</t>
        </is>
      </c>
      <c r="E10" s="10" t="inlineStr">
        <is>
          <t>VO2max</t>
        </is>
      </c>
      <c r="F10" s="11" t="inlineStr">
        <is>
          <t>실험군</t>
        </is>
      </c>
      <c r="G10" s="13" t="inlineStr">
        <is>
          <t>원문 확인</t>
        </is>
      </c>
      <c r="H10" s="13" t="inlineStr">
        <is>
          <t>원문 확인</t>
        </is>
      </c>
      <c r="I10" s="13" t="inlineStr">
        <is>
          <t>원문 확인</t>
        </is>
      </c>
      <c r="J10" s="13" t="inlineStr">
        <is>
          <t>원문 확인</t>
        </is>
      </c>
      <c r="K10" s="14">
        <f>IF(AND(ISNUMBER(G10),ISNUMBER(I10)),I10-G10,"")</f>
        <v/>
      </c>
      <c r="L10" s="15">
        <f>IF(AND(ISNUMBER(G10),ISNUMBER(I10)),IF(G10&lt;&gt;0,(I10-G10)/G10,""),"")</f>
        <v/>
      </c>
      <c r="M10" s="10" t="inlineStr">
        <is>
          <t>+4.84%. 1:4 비율 집단만 통제군 대비 유의</t>
        </is>
      </c>
      <c r="N10" s="10" t="inlineStr">
        <is>
          <t>집단별 절대값 원문 확인</t>
        </is>
      </c>
      <c r="O10" s="16" t="inlineStr">
        <is>
          <t>링크</t>
        </is>
      </c>
    </row>
    <row r="11" ht="44" customHeight="1">
      <c r="A11" s="10" t="inlineStr">
        <is>
          <t>Monks 외 (2017), J Sports Med Phys Fitness</t>
        </is>
      </c>
      <c r="B11" s="10" t="inlineStr">
        <is>
          <t>대학 태권도 선수(남녀)</t>
        </is>
      </c>
      <c r="C11" s="11" t="n">
        <v>33</v>
      </c>
      <c r="D11" s="10" t="inlineStr">
        <is>
          <t>4주 11회, HIIT(16명) vs 고강도 지속달리기(17명)</t>
        </is>
      </c>
      <c r="E11" s="10" t="inlineStr">
        <is>
          <t>VO2max</t>
        </is>
      </c>
      <c r="F11" s="11" t="inlineStr">
        <is>
          <t>HIIT</t>
        </is>
      </c>
      <c r="G11" s="13" t="inlineStr">
        <is>
          <t>원문 확인</t>
        </is>
      </c>
      <c r="H11" s="13" t="inlineStr">
        <is>
          <t>원문 확인</t>
        </is>
      </c>
      <c r="I11" s="13" t="inlineStr">
        <is>
          <t>원문 확인</t>
        </is>
      </c>
      <c r="J11" s="13" t="inlineStr">
        <is>
          <t>원문 확인</t>
        </is>
      </c>
      <c r="K11" s="14">
        <f>IF(AND(ISNUMBER(G11),ISNUMBER(I11)),I11-G11,"")</f>
        <v/>
      </c>
      <c r="L11" s="15">
        <f>IF(AND(ISNUMBER(G11),ISNUMBER(I11)),IF(G11&lt;&gt;0,(I11-G11)/G11,""),"")</f>
        <v/>
      </c>
      <c r="M11" s="10" t="inlineStr">
        <is>
          <t>두 집단 모두 향상(초록 판본 간 서술 차이 있음)</t>
        </is>
      </c>
      <c r="N11" s="10" t="inlineStr">
        <is>
          <t>수치 원문 확인</t>
        </is>
      </c>
      <c r="O11" s="16" t="inlineStr">
        <is>
          <t>링크</t>
        </is>
      </c>
    </row>
    <row r="12" ht="44" customHeight="1">
      <c r="A12" s="10" t="inlineStr">
        <is>
          <t>Song &amp; Sheykhlouvand (2024), J Sports Sci Med</t>
        </is>
      </c>
      <c r="B12" s="10" t="inlineStr">
        <is>
          <t>훈련된 태권도 선수</t>
        </is>
      </c>
      <c r="C12" s="13" t="inlineStr">
        <is>
          <t>원문 확인</t>
        </is>
      </c>
      <c r="D12" s="10" t="inlineStr">
        <is>
          <t>정규훈련(주 3회, 60분) 후 반복 질주(3×10×4초) 또는 반복 발차기 인터벌 추가. 기간 원문 확인</t>
        </is>
      </c>
      <c r="E12" s="10" t="inlineStr">
        <is>
          <t>VO2max, 심박출량 등</t>
        </is>
      </c>
      <c r="F12" s="11" t="inlineStr">
        <is>
          <t>HIIT</t>
        </is>
      </c>
      <c r="G12" s="13" t="inlineStr">
        <is>
          <t>원문 확인</t>
        </is>
      </c>
      <c r="H12" s="13" t="inlineStr">
        <is>
          <t>원문 확인</t>
        </is>
      </c>
      <c r="I12" s="13" t="inlineStr">
        <is>
          <t>원문 확인</t>
        </is>
      </c>
      <c r="J12" s="13" t="inlineStr">
        <is>
          <t>원문 확인</t>
        </is>
      </c>
      <c r="K12" s="14">
        <f>IF(AND(ISNUMBER(G12),ISNUMBER(I12)),I12-G12,"")</f>
        <v/>
      </c>
      <c r="L12" s="15">
        <f>IF(AND(ISNUMBER(G12),ISNUMBER(I12)),IF(G12&lt;&gt;0,(I12-G12)/G12,""),"")</f>
        <v/>
      </c>
      <c r="M12" s="10" t="inlineStr">
        <is>
          <t>두 HIIT 모두 향상, 반복 질주 인터벌(HIITRS)이 더 크고 고른 적응</t>
        </is>
      </c>
      <c r="N12" s="10" t="inlineStr">
        <is>
          <t>수치·표본 수·기간 원문 확인</t>
        </is>
      </c>
      <c r="O12" s="16" t="inlineStr">
        <is>
          <t>링크</t>
        </is>
      </c>
    </row>
    <row r="13" ht="44" customHeight="1">
      <c r="A13" s="17" t="inlineStr">
        <is>
          <t>인도네시아 겨루기 HIIT</t>
        </is>
      </c>
      <c r="B13" s="17" t="inlineStr">
        <is>
          <t>겨루기 선수</t>
        </is>
      </c>
      <c r="C13" s="18" t="n">
        <v>6</v>
      </c>
      <c r="D13" s="17" t="inlineStr">
        <is>
          <t>HIIT, 단일군</t>
        </is>
      </c>
      <c r="E13" s="17" t="inlineStr">
        <is>
          <t>셔틀런(MFT) 추정</t>
        </is>
      </c>
      <c r="F13" s="18" t="inlineStr">
        <is>
          <t>실험군</t>
        </is>
      </c>
      <c r="G13" s="19" t="n">
        <v>27.26</v>
      </c>
      <c r="H13" s="13" t="inlineStr">
        <is>
          <t>원문 확인</t>
        </is>
      </c>
      <c r="I13" s="19" t="n">
        <v>30.43</v>
      </c>
      <c r="J13" s="13" t="inlineStr">
        <is>
          <t>원문 확인</t>
        </is>
      </c>
      <c r="K13" s="20">
        <f>IF(AND(ISNUMBER(G13),ISNUMBER(I13)),I13-G13,"")</f>
        <v/>
      </c>
      <c r="L13" s="21">
        <f>IF(AND(ISNUMBER(G13),ISNUMBER(I13)),IF(G13&lt;&gt;0,(I13-G13)/G13,""),"")</f>
        <v/>
      </c>
      <c r="M13" s="17" t="inlineStr">
        <is>
          <t>유의하게 증가</t>
        </is>
      </c>
      <c r="N13" s="17" t="inlineStr">
        <is>
          <t>현장검사 추정치라 직접 비교 제외</t>
        </is>
      </c>
      <c r="O13" s="22" t="inlineStr">
        <is>
          <t>링크</t>
        </is>
      </c>
    </row>
  </sheetData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6" customWidth="1" min="3" max="3"/>
    <col width="18" customWidth="1" min="4" max="4"/>
    <col width="10" customWidth="1" min="5" max="5"/>
    <col width="9" customWidth="1" min="6" max="6"/>
    <col width="9" customWidth="1" min="7" max="7"/>
    <col width="30" customWidth="1" min="8" max="8"/>
    <col width="10" customWidth="1" min="9" max="9"/>
  </cols>
  <sheetData>
    <row r="1">
      <c r="A1" s="7" t="inlineStr">
        <is>
          <t>태권도 선수 VO2max 기준값 (사전값 비교용, mL/kg/min)</t>
        </is>
      </c>
    </row>
    <row r="2" ht="30" customHeight="1">
      <c r="A2" s="8" t="inlineStr">
        <is>
          <t>중재 없이 측정한 횡단 자료입니다.</t>
        </is>
      </c>
    </row>
    <row r="4" ht="32" customHeight="1">
      <c r="A4" s="9" t="inlineStr">
        <is>
          <t>연구</t>
        </is>
      </c>
      <c r="B4" s="9" t="inlineStr">
        <is>
          <t>대상</t>
        </is>
      </c>
      <c r="C4" s="9" t="inlineStr">
        <is>
          <t>n</t>
        </is>
      </c>
      <c r="D4" s="9" t="inlineStr">
        <is>
          <t>측정 프로토콜</t>
        </is>
      </c>
      <c r="E4" s="9" t="inlineStr">
        <is>
          <t>구분</t>
        </is>
      </c>
      <c r="F4" s="9" t="inlineStr">
        <is>
          <t>평균</t>
        </is>
      </c>
      <c r="G4" s="9" t="inlineStr">
        <is>
          <t>SD</t>
        </is>
      </c>
      <c r="H4" s="9" t="inlineStr">
        <is>
          <t>비고</t>
        </is>
      </c>
      <c r="I4" s="9" t="inlineStr">
        <is>
          <t>출처</t>
        </is>
      </c>
    </row>
    <row r="5" ht="30" customHeight="1">
      <c r="A5" s="10" t="inlineStr">
        <is>
          <t>노르웨이 ITF 국가대표 (2025), Front Physiol</t>
        </is>
      </c>
      <c r="B5" s="10" t="inlineStr">
        <is>
          <t>국가대표</t>
        </is>
      </c>
      <c r="C5" s="13" t="inlineStr">
        <is>
          <t>원문 확인</t>
        </is>
      </c>
      <c r="D5" s="11" t="inlineStr">
        <is>
          <t>실험실 직접측정</t>
        </is>
      </c>
      <c r="E5" s="11" t="inlineStr">
        <is>
          <t>남</t>
        </is>
      </c>
      <c r="F5" s="12" t="n">
        <v>58.8</v>
      </c>
      <c r="G5" s="12" t="n">
        <v>7.3</v>
      </c>
      <c r="H5" s="10" t="inlineStr"/>
      <c r="I5" s="16" t="inlineStr">
        <is>
          <t>링크</t>
        </is>
      </c>
    </row>
    <row r="6" ht="30" customHeight="1">
      <c r="A6" s="10" t="inlineStr">
        <is>
          <t>노르웨이 ITF 국가대표 (2025)</t>
        </is>
      </c>
      <c r="B6" s="10" t="inlineStr">
        <is>
          <t>국가대표</t>
        </is>
      </c>
      <c r="C6" s="13" t="inlineStr">
        <is>
          <t>원문 확인</t>
        </is>
      </c>
      <c r="D6" s="11" t="inlineStr">
        <is>
          <t>실험실 직접측정</t>
        </is>
      </c>
      <c r="E6" s="11" t="inlineStr">
        <is>
          <t>여</t>
        </is>
      </c>
      <c r="F6" s="12" t="n">
        <v>50.5</v>
      </c>
      <c r="G6" s="12" t="n">
        <v>4.1</v>
      </c>
      <c r="H6" s="10" t="inlineStr"/>
      <c r="I6" s="16" t="inlineStr">
        <is>
          <t>링크</t>
        </is>
      </c>
    </row>
    <row r="7" ht="30" customHeight="1">
      <c r="A7" s="10" t="inlineStr">
        <is>
          <t>불가리아 국가대표 (2021)</t>
        </is>
      </c>
      <c r="B7" s="10" t="inlineStr">
        <is>
          <t>국가대표</t>
        </is>
      </c>
      <c r="C7" s="11" t="n">
        <v>8</v>
      </c>
      <c r="D7" s="11" t="inlineStr">
        <is>
          <t>트레드밀</t>
        </is>
      </c>
      <c r="E7" s="11" t="inlineStr">
        <is>
          <t>남</t>
        </is>
      </c>
      <c r="F7" s="12" t="n">
        <v>58.2</v>
      </c>
      <c r="G7" s="13" t="inlineStr">
        <is>
          <t>원문 확인</t>
        </is>
      </c>
      <c r="H7" s="10" t="inlineStr"/>
      <c r="I7" s="16" t="inlineStr">
        <is>
          <t>링크</t>
        </is>
      </c>
    </row>
    <row r="8" ht="30" customHeight="1">
      <c r="A8" s="10" t="inlineStr">
        <is>
          <t>불가리아 국가대표 (2021)</t>
        </is>
      </c>
      <c r="B8" s="10" t="inlineStr">
        <is>
          <t>국가대표</t>
        </is>
      </c>
      <c r="C8" s="11" t="n">
        <v>6</v>
      </c>
      <c r="D8" s="11" t="inlineStr">
        <is>
          <t>트레드밀</t>
        </is>
      </c>
      <c r="E8" s="11" t="inlineStr">
        <is>
          <t>여</t>
        </is>
      </c>
      <c r="F8" s="12" t="n">
        <v>46</v>
      </c>
      <c r="G8" s="13" t="inlineStr">
        <is>
          <t>원문 확인</t>
        </is>
      </c>
      <c r="H8" s="10" t="inlineStr"/>
      <c r="I8" s="16" t="inlineStr">
        <is>
          <t>링크</t>
        </is>
      </c>
    </row>
    <row r="9" ht="30" customHeight="1">
      <c r="A9" s="10" t="inlineStr">
        <is>
          <t>이란 엘리트 여자 선수</t>
        </is>
      </c>
      <c r="B9" s="10" t="inlineStr">
        <is>
          <t>엘리트</t>
        </is>
      </c>
      <c r="C9" s="11" t="n">
        <v>33</v>
      </c>
      <c r="D9" s="13" t="inlineStr">
        <is>
          <t>원문 확인</t>
        </is>
      </c>
      <c r="E9" s="11" t="inlineStr">
        <is>
          <t>여</t>
        </is>
      </c>
      <c r="F9" s="12" t="n">
        <v>48.95</v>
      </c>
      <c r="G9" s="12" t="n">
        <v>7.11</v>
      </c>
      <c r="H9" s="10" t="inlineStr"/>
      <c r="I9" s="16" t="inlineStr">
        <is>
          <t>링크</t>
        </is>
      </c>
    </row>
    <row r="10" ht="30" customHeight="1">
      <c r="A10" s="10" t="inlineStr">
        <is>
          <t>테이퍼링 연구</t>
        </is>
      </c>
      <c r="B10" s="10" t="inlineStr">
        <is>
          <t>태권도 선수</t>
        </is>
      </c>
      <c r="C10" s="13" t="inlineStr">
        <is>
          <t>원문 확인</t>
        </is>
      </c>
      <c r="D10" s="13" t="inlineStr">
        <is>
          <t>원문 확인</t>
        </is>
      </c>
      <c r="E10" s="11" t="inlineStr">
        <is>
          <t>남</t>
        </is>
      </c>
      <c r="F10" s="12" t="n">
        <v>53.5</v>
      </c>
      <c r="G10" s="13" t="inlineStr">
        <is>
          <t>원문 확인</t>
        </is>
      </c>
      <c r="H10" s="10" t="inlineStr">
        <is>
          <t>약값</t>
        </is>
      </c>
      <c r="I10" s="16" t="inlineStr">
        <is>
          <t>링크</t>
        </is>
      </c>
    </row>
    <row r="11" ht="30" customHeight="1">
      <c r="A11" s="10" t="inlineStr">
        <is>
          <t>테이퍼링 연구</t>
        </is>
      </c>
      <c r="B11" s="10" t="inlineStr">
        <is>
          <t>태권도 선수</t>
        </is>
      </c>
      <c r="C11" s="13" t="inlineStr">
        <is>
          <t>원문 확인</t>
        </is>
      </c>
      <c r="D11" s="13" t="inlineStr">
        <is>
          <t>원문 확인</t>
        </is>
      </c>
      <c r="E11" s="11" t="inlineStr">
        <is>
          <t>여</t>
        </is>
      </c>
      <c r="F11" s="12" t="n">
        <v>45.5</v>
      </c>
      <c r="G11" s="13" t="inlineStr">
        <is>
          <t>원문 확인</t>
        </is>
      </c>
      <c r="H11" s="10" t="inlineStr">
        <is>
          <t>약값</t>
        </is>
      </c>
      <c r="I11" s="16" t="inlineStr">
        <is>
          <t>링크</t>
        </is>
      </c>
    </row>
  </sheetData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6" customWidth="1" min="3" max="3"/>
    <col width="24" customWidth="1" min="4" max="4"/>
    <col width="18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26" customWidth="1" min="13" max="13"/>
    <col width="26" customWidth="1" min="14" max="14"/>
    <col width="10" customWidth="1" min="15" max="15"/>
  </cols>
  <sheetData>
    <row r="1">
      <c r="A1" s="7" t="inlineStr">
        <is>
          <t>FMS 총점 중재연구 사전/사후 (0–21점)</t>
        </is>
      </c>
    </row>
    <row r="2" ht="30" customHeight="1">
      <c r="A2" s="8" t="inlineStr">
        <is>
          <t>FMS 총점은 Cook 등의 표준 7항목 합계입니다.</t>
        </is>
      </c>
    </row>
    <row r="4" ht="32" customHeight="1">
      <c r="A4" s="9" t="inlineStr">
        <is>
          <t>연구</t>
        </is>
      </c>
      <c r="B4" s="9" t="inlineStr">
        <is>
          <t>대상</t>
        </is>
      </c>
      <c r="C4" s="9" t="inlineStr">
        <is>
          <t>n</t>
        </is>
      </c>
      <c r="D4" s="9" t="inlineStr">
        <is>
          <t>중재·기간</t>
        </is>
      </c>
      <c r="E4" s="9" t="inlineStr">
        <is>
          <t>측정 프로토콜</t>
        </is>
      </c>
      <c r="F4" s="9" t="inlineStr">
        <is>
          <t>집단</t>
        </is>
      </c>
      <c r="G4" s="9" t="inlineStr">
        <is>
          <t>사전 M</t>
        </is>
      </c>
      <c r="H4" s="9" t="inlineStr">
        <is>
          <t>사전 SD</t>
        </is>
      </c>
      <c r="I4" s="9" t="inlineStr">
        <is>
          <t>사후 M</t>
        </is>
      </c>
      <c r="J4" s="9" t="inlineStr">
        <is>
          <t>사후 SD</t>
        </is>
      </c>
      <c r="K4" s="9" t="inlineStr">
        <is>
          <t>변화량
(자동)</t>
        </is>
      </c>
      <c r="L4" s="9" t="inlineStr">
        <is>
          <t>변화율
(자동)</t>
        </is>
      </c>
      <c r="M4" s="9" t="inlineStr">
        <is>
          <t>보고된 변화·결과</t>
        </is>
      </c>
      <c r="N4" s="9" t="inlineStr">
        <is>
          <t>근거 수준 / 비고</t>
        </is>
      </c>
      <c r="O4" s="9" t="inlineStr">
        <is>
          <t>출처</t>
        </is>
      </c>
    </row>
    <row r="5" ht="44" customHeight="1">
      <c r="A5" s="10" t="inlineStr">
        <is>
          <t>Bodden 외 (2015), J Strength Cond Res</t>
        </is>
      </c>
      <c r="B5" s="10" t="inlineStr">
        <is>
          <t>MMA 선수(준프로)</t>
        </is>
      </c>
      <c r="C5" s="11" t="n">
        <v>25</v>
      </c>
      <c r="D5" s="10" t="inlineStr">
        <is>
          <t>8주, 교정운동 주 4회 + 평소 훈련</t>
        </is>
      </c>
      <c r="E5" s="10" t="inlineStr">
        <is>
          <t>FMS 표준</t>
        </is>
      </c>
      <c r="F5" s="11" t="inlineStr">
        <is>
          <t>실험군</t>
        </is>
      </c>
      <c r="G5" s="12" t="n">
        <v>13.25</v>
      </c>
      <c r="H5" s="12" t="n">
        <v>0.87</v>
      </c>
      <c r="I5" s="13" t="inlineStr">
        <is>
          <t>원문 확인</t>
        </is>
      </c>
      <c r="J5" s="13" t="inlineStr">
        <is>
          <t>원문 확인</t>
        </is>
      </c>
      <c r="K5" s="14">
        <f>IF(AND(ISNUMBER(G5),ISNUMBER(I5)),I5-G5,"")</f>
        <v/>
      </c>
      <c r="L5" s="15">
        <f>IF(AND(ISNUMBER(G5),ISNUMBER(I5)),IF(G5&lt;&gt;0,(I5-G5)/G5,""),"")</f>
        <v/>
      </c>
      <c r="M5" s="10" t="inlineStr">
        <is>
          <t>0→8주 유의하게 증가, 대부분 4주 안에</t>
        </is>
      </c>
      <c r="N5" s="10" t="inlineStr">
        <is>
          <t>사전값은 2차 자료 기준</t>
        </is>
      </c>
      <c r="O5" s="16" t="inlineStr">
        <is>
          <t>링크</t>
        </is>
      </c>
    </row>
    <row r="6" ht="44" customHeight="1">
      <c r="A6" s="10" t="inlineStr">
        <is>
          <t>Bodden 외 (2015)</t>
        </is>
      </c>
      <c r="B6" s="10" t="inlineStr">
        <is>
          <t>MMA 선수(준프로)</t>
        </is>
      </c>
      <c r="C6" s="13" t="inlineStr">
        <is>
          <t>원문 확인</t>
        </is>
      </c>
      <c r="D6" s="10" t="inlineStr">
        <is>
          <t>평소 훈련</t>
        </is>
      </c>
      <c r="E6" s="10" t="inlineStr">
        <is>
          <t>FMS 표준</t>
        </is>
      </c>
      <c r="F6" s="11" t="inlineStr">
        <is>
          <t>통제군</t>
        </is>
      </c>
      <c r="G6" s="12" t="n">
        <v>13.23</v>
      </c>
      <c r="H6" s="12" t="n">
        <v>0.8</v>
      </c>
      <c r="I6" s="13" t="inlineStr">
        <is>
          <t>원문 확인</t>
        </is>
      </c>
      <c r="J6" s="13" t="inlineStr">
        <is>
          <t>원문 확인</t>
        </is>
      </c>
      <c r="K6" s="14">
        <f>IF(AND(ISNUMBER(G6),ISNUMBER(I6)),I6-G6,"")</f>
        <v/>
      </c>
      <c r="L6" s="15">
        <f>IF(AND(ISNUMBER(G6),ISNUMBER(I6)),IF(G6&lt;&gt;0,(I6-G6)/G6,""),"")</f>
        <v/>
      </c>
      <c r="M6" s="10" t="inlineStr">
        <is>
          <t>유의한 증가 없음</t>
        </is>
      </c>
      <c r="N6" s="10" t="inlineStr">
        <is>
          <t>사후값 원문 확인</t>
        </is>
      </c>
      <c r="O6" s="16" t="inlineStr">
        <is>
          <t>링크</t>
        </is>
      </c>
    </row>
    <row r="7" ht="44" customHeight="1">
      <c r="A7" s="10" t="inlineStr">
        <is>
          <t>Kiesel 외 (2011), Scand J Med Sci Sports</t>
        </is>
      </c>
      <c r="B7" s="10" t="inlineStr">
        <is>
          <t>NFL 라인맨</t>
        </is>
      </c>
      <c r="C7" s="13" t="inlineStr">
        <is>
          <t>원문 확인</t>
        </is>
      </c>
      <c r="D7" s="10" t="inlineStr">
        <is>
          <t>7주 비시즌 프로그램</t>
        </is>
      </c>
      <c r="E7" s="10" t="inlineStr">
        <is>
          <t>FMS 표준</t>
        </is>
      </c>
      <c r="F7" s="11" t="inlineStr">
        <is>
          <t>라인맨</t>
        </is>
      </c>
      <c r="G7" s="12" t="n">
        <v>11.8</v>
      </c>
      <c r="H7" s="13" t="inlineStr">
        <is>
          <t>원문 확인</t>
        </is>
      </c>
      <c r="I7" s="12" t="n">
        <v>14.8</v>
      </c>
      <c r="J7" s="13" t="inlineStr">
        <is>
          <t>원문 확인</t>
        </is>
      </c>
      <c r="K7" s="14">
        <f>IF(AND(ISNUMBER(G7),ISNUMBER(I7)),I7-G7,"")</f>
        <v/>
      </c>
      <c r="L7" s="15">
        <f>IF(AND(ISNUMBER(G7),ISNUMBER(I7)),IF(G7&lt;&gt;0,(I7-G7)/G7,""),"")</f>
        <v/>
      </c>
      <c r="M7" s="10" t="inlineStr">
        <is>
          <t>유의하게 증가</t>
        </is>
      </c>
      <c r="N7" s="10" t="inlineStr">
        <is>
          <t>SD 원문 확인. 통제군도 증가했다는 2차 보고 있음</t>
        </is>
      </c>
      <c r="O7" s="16" t="inlineStr">
        <is>
          <t>링크</t>
        </is>
      </c>
    </row>
    <row r="8" ht="44" customHeight="1">
      <c r="A8" s="10" t="inlineStr">
        <is>
          <t>Kiesel 외 (2011)</t>
        </is>
      </c>
      <c r="B8" s="10" t="inlineStr">
        <is>
          <t>NFL 비라인맨</t>
        </is>
      </c>
      <c r="C8" s="13" t="inlineStr">
        <is>
          <t>원문 확인</t>
        </is>
      </c>
      <c r="D8" s="10" t="inlineStr">
        <is>
          <t>7주 비시즌 프로그램</t>
        </is>
      </c>
      <c r="E8" s="10" t="inlineStr">
        <is>
          <t>FMS 표준</t>
        </is>
      </c>
      <c r="F8" s="11" t="inlineStr">
        <is>
          <t>비라인맨</t>
        </is>
      </c>
      <c r="G8" s="12" t="n">
        <v>13.3</v>
      </c>
      <c r="H8" s="13" t="inlineStr">
        <is>
          <t>원문 확인</t>
        </is>
      </c>
      <c r="I8" s="12" t="n">
        <v>16.3</v>
      </c>
      <c r="J8" s="13" t="inlineStr">
        <is>
          <t>원문 확인</t>
        </is>
      </c>
      <c r="K8" s="14">
        <f>IF(AND(ISNUMBER(G8),ISNUMBER(I8)),I8-G8,"")</f>
        <v/>
      </c>
      <c r="L8" s="15">
        <f>IF(AND(ISNUMBER(G8),ISNUMBER(I8)),IF(G8&lt;&gt;0,(I8-G8)/G8,""),"")</f>
        <v/>
      </c>
      <c r="M8" s="10" t="inlineStr">
        <is>
          <t>유의하게 증가</t>
        </is>
      </c>
      <c r="N8" s="10" t="inlineStr">
        <is>
          <t>SD 원문 확인</t>
        </is>
      </c>
      <c r="O8" s="16" t="inlineStr">
        <is>
          <t>링크</t>
        </is>
      </c>
    </row>
    <row r="9" ht="44" customHeight="1">
      <c r="A9" s="10" t="inlineStr">
        <is>
          <t>기능 교정 훈련 (PeerJ)</t>
        </is>
      </c>
      <c r="B9" s="10" t="inlineStr">
        <is>
          <t>대학생</t>
        </is>
      </c>
      <c r="C9" s="11" t="n">
        <v>15</v>
      </c>
      <c r="D9" s="10" t="inlineStr">
        <is>
          <t>기능 교정 훈련</t>
        </is>
      </c>
      <c r="E9" s="10" t="inlineStr">
        <is>
          <t>FMS 표준</t>
        </is>
      </c>
      <c r="F9" s="11" t="inlineStr">
        <is>
          <t>실험군</t>
        </is>
      </c>
      <c r="G9" s="12" t="n">
        <v>15.73</v>
      </c>
      <c r="H9" s="12" t="n">
        <v>1.58</v>
      </c>
      <c r="I9" s="12" t="n">
        <v>18.07</v>
      </c>
      <c r="J9" s="12" t="n">
        <v>1.79</v>
      </c>
      <c r="K9" s="14">
        <f>IF(AND(ISNUMBER(G9),ISNUMBER(I9)),I9-G9,"")</f>
        <v/>
      </c>
      <c r="L9" s="15">
        <f>IF(AND(ISNUMBER(G9),ISNUMBER(I9)),IF(G9&lt;&gt;0,(I9-G9)/G9,""),"")</f>
        <v/>
      </c>
      <c r="M9" s="10" t="inlineStr">
        <is>
          <t>유의하게 증가(p = .001)</t>
        </is>
      </c>
      <c r="N9" s="10" t="inlineStr">
        <is>
          <t>비선수. 대조군(13명) 수치 원문 확인</t>
        </is>
      </c>
      <c r="O9" s="16" t="inlineStr">
        <is>
          <t>링크</t>
        </is>
      </c>
    </row>
    <row r="10" ht="44" customHeight="1">
      <c r="A10" s="10" t="inlineStr">
        <is>
          <t>빙상 선수 8주 FMS 훈련 (JHSE 2025)</t>
        </is>
      </c>
      <c r="B10" s="10" t="inlineStr">
        <is>
          <t>청소년 스피드스케이팅</t>
        </is>
      </c>
      <c r="C10" s="13" t="inlineStr">
        <is>
          <t>원문 확인</t>
        </is>
      </c>
      <c r="D10" s="10" t="inlineStr">
        <is>
          <t>8주 FMS 기반 훈련</t>
        </is>
      </c>
      <c r="E10" s="10" t="inlineStr">
        <is>
          <t>FMS 표준</t>
        </is>
      </c>
      <c r="F10" s="11" t="inlineStr">
        <is>
          <t>실험군</t>
        </is>
      </c>
      <c r="G10" s="12" t="n">
        <v>15.38</v>
      </c>
      <c r="H10" s="12" t="n">
        <v>0.92</v>
      </c>
      <c r="I10" s="12" t="n">
        <v>19.13</v>
      </c>
      <c r="J10" s="12" t="n">
        <v>0.64</v>
      </c>
      <c r="K10" s="14">
        <f>IF(AND(ISNUMBER(G10),ISNUMBER(I10)),I10-G10,"")</f>
        <v/>
      </c>
      <c r="L10" s="15">
        <f>IF(AND(ISNUMBER(G10),ISNUMBER(I10)),IF(G10&lt;&gt;0,(I10-G10)/G10,""),"")</f>
        <v/>
      </c>
      <c r="M10" s="10" t="inlineStr">
        <is>
          <t>유의하게 증가</t>
        </is>
      </c>
      <c r="N10" s="10" t="inlineStr"/>
      <c r="O10" s="16" t="inlineStr">
        <is>
          <t>링크</t>
        </is>
      </c>
    </row>
    <row r="11" ht="44" customHeight="1">
      <c r="A11" s="10" t="inlineStr">
        <is>
          <t>소방관 8주 개별 운동</t>
        </is>
      </c>
      <c r="B11" s="10" t="inlineStr">
        <is>
          <t>현역 소방관</t>
        </is>
      </c>
      <c r="C11" s="13" t="inlineStr">
        <is>
          <t>원문 확인</t>
        </is>
      </c>
      <c r="D11" s="10" t="inlineStr">
        <is>
          <t>8주 개별 프로그램, 단일군</t>
        </is>
      </c>
      <c r="E11" s="10" t="inlineStr">
        <is>
          <t>FMS 표준</t>
        </is>
      </c>
      <c r="F11" s="11" t="inlineStr">
        <is>
          <t>단일군</t>
        </is>
      </c>
      <c r="G11" s="12" t="n">
        <v>11.3</v>
      </c>
      <c r="H11" s="12" t="n">
        <v>2.2</v>
      </c>
      <c r="I11" s="12" t="n">
        <v>14.7</v>
      </c>
      <c r="J11" s="12" t="n">
        <v>2.8</v>
      </c>
      <c r="K11" s="14">
        <f>IF(AND(ISNUMBER(G11),ISNUMBER(I11)),I11-G11,"")</f>
        <v/>
      </c>
      <c r="L11" s="15">
        <f>IF(AND(ISNUMBER(G11),ISNUMBER(I11)),IF(G11&lt;&gt;0,(I11-G11)/G11,""),"")</f>
        <v/>
      </c>
      <c r="M11" s="10" t="inlineStr">
        <is>
          <t>p = .013</t>
        </is>
      </c>
      <c r="N11" s="10" t="inlineStr">
        <is>
          <t>비선수, 통제군 없음</t>
        </is>
      </c>
      <c r="O11" s="16" t="inlineStr">
        <is>
          <t>링크</t>
        </is>
      </c>
    </row>
    <row r="12" ht="44" customHeight="1">
      <c r="A12" s="10" t="inlineStr">
        <is>
          <t>Frost 외 (2015), J Strength Cond Res</t>
        </is>
      </c>
      <c r="B12" s="10" t="inlineStr">
        <is>
          <t>소방관</t>
        </is>
      </c>
      <c r="C12" s="13" t="inlineStr">
        <is>
          <t>원문 확인</t>
        </is>
      </c>
      <c r="D12" s="10" t="inlineStr">
        <is>
          <t>훈련이 아니라 채점 기준을 알려준 뒤 재검사</t>
        </is>
      </c>
      <c r="E12" s="10" t="inlineStr">
        <is>
          <t>FMS 표준</t>
        </is>
      </c>
      <c r="F12" s="11" t="inlineStr">
        <is>
          <t>단일군</t>
        </is>
      </c>
      <c r="G12" s="12" t="n">
        <v>14.1</v>
      </c>
      <c r="H12" s="13" t="inlineStr">
        <is>
          <t>원문 확인</t>
        </is>
      </c>
      <c r="I12" s="12" t="n">
        <v>16.7</v>
      </c>
      <c r="J12" s="13" t="inlineStr">
        <is>
          <t>원문 확인</t>
        </is>
      </c>
      <c r="K12" s="14">
        <f>IF(AND(ISNUMBER(G12),ISNUMBER(I12)),I12-G12,"")</f>
        <v/>
      </c>
      <c r="L12" s="15">
        <f>IF(AND(ISNUMBER(G12),ISNUMBER(I12)),IF(G12&lt;&gt;0,(I12-G12)/G12,""),"")</f>
        <v/>
      </c>
      <c r="M12" s="10" t="inlineStr">
        <is>
          <t>증가</t>
        </is>
      </c>
      <c r="N12" s="10" t="inlineStr">
        <is>
          <t>훈련 효과가 아닌 학습효과 연구. 학습효과 크기 참고용</t>
        </is>
      </c>
      <c r="O12" s="16" t="inlineStr">
        <is>
          <t>링크</t>
        </is>
      </c>
    </row>
    <row r="13" ht="44" customHeight="1">
      <c r="A13" s="10" t="inlineStr">
        <is>
          <t>엘리트 여자 배구 교정운동</t>
        </is>
      </c>
      <c r="B13" s="10" t="inlineStr">
        <is>
          <t>엘리트 여자 배구</t>
        </is>
      </c>
      <c r="C13" s="13" t="inlineStr">
        <is>
          <t>원문 확인</t>
        </is>
      </c>
      <c r="D13" s="10" t="inlineStr">
        <is>
          <t>12주 교정운동 주 3회</t>
        </is>
      </c>
      <c r="E13" s="10" t="inlineStr">
        <is>
          <t>FMS 표준</t>
        </is>
      </c>
      <c r="F13" s="11" t="inlineStr">
        <is>
          <t>실험군</t>
        </is>
      </c>
      <c r="G13" s="13" t="inlineStr">
        <is>
          <t>원문 확인</t>
        </is>
      </c>
      <c r="H13" s="13" t="inlineStr">
        <is>
          <t>원문 확인</t>
        </is>
      </c>
      <c r="I13" s="13" t="inlineStr">
        <is>
          <t>원문 확인</t>
        </is>
      </c>
      <c r="J13" s="13" t="inlineStr">
        <is>
          <t>원문 확인</t>
        </is>
      </c>
      <c r="K13" s="14">
        <f>IF(AND(ISNUMBER(G13),ISNUMBER(I13)),I13-G13,"")</f>
        <v/>
      </c>
      <c r="L13" s="15">
        <f>IF(AND(ISNUMBER(G13),ISNUMBER(I13)),IF(G13&lt;&gt;0,(I13-G13)/G13,""),"")</f>
        <v/>
      </c>
      <c r="M13" s="10" t="inlineStr">
        <is>
          <t>+19.6%</t>
        </is>
      </c>
      <c r="N13" s="10" t="inlineStr">
        <is>
          <t>절대값 원문 확인</t>
        </is>
      </c>
      <c r="O13" s="16" t="inlineStr">
        <is>
          <t>링크</t>
        </is>
      </c>
    </row>
    <row r="14" ht="44" customHeight="1">
      <c r="A14" s="10" t="inlineStr">
        <is>
          <t>김현륜·이상일 (2026), 대한무도학회지</t>
        </is>
      </c>
      <c r="B14" s="10" t="inlineStr">
        <is>
          <t>태권도 전공자</t>
        </is>
      </c>
      <c r="C14" s="13" t="inlineStr">
        <is>
          <t>원문 확인</t>
        </is>
      </c>
      <c r="D14" s="10" t="inlineStr">
        <is>
          <t>12주 HIIT</t>
        </is>
      </c>
      <c r="E14" s="10" t="inlineStr">
        <is>
          <t>FMS 표준</t>
        </is>
      </c>
      <c r="F14" s="11" t="inlineStr">
        <is>
          <t>실험군</t>
        </is>
      </c>
      <c r="G14" s="13" t="inlineStr">
        <is>
          <t>원문 확인</t>
        </is>
      </c>
      <c r="H14" s="13" t="inlineStr">
        <is>
          <t>원문 확인</t>
        </is>
      </c>
      <c r="I14" s="13" t="inlineStr">
        <is>
          <t>원문 확인</t>
        </is>
      </c>
      <c r="J14" s="13" t="inlineStr">
        <is>
          <t>원문 확인</t>
        </is>
      </c>
      <c r="K14" s="14">
        <f>IF(AND(ISNUMBER(G14),ISNUMBER(I14)),I14-G14,"")</f>
        <v/>
      </c>
      <c r="L14" s="15">
        <f>IF(AND(ISNUMBER(G14),ISNUMBER(I14)),IF(G14&lt;&gt;0,(I14-G14)/G14,""),"")</f>
        <v/>
      </c>
      <c r="M14" s="10" t="inlineStr">
        <is>
          <t>집단 간 유의한 차이. DS·HS·ILL 유의</t>
        </is>
      </c>
      <c r="N14" s="10" t="inlineStr">
        <is>
          <t>수치 원문 확인</t>
        </is>
      </c>
      <c r="O14" s="16" t="inlineStr">
        <is>
          <t>링크</t>
        </is>
      </c>
    </row>
    <row r="15" ht="44" customHeight="1">
      <c r="A15" s="10" t="inlineStr">
        <is>
          <t>PNF 복합운동 (KCI)</t>
        </is>
      </c>
      <c r="B15" s="10" t="inlineStr">
        <is>
          <t>중·고교 남자 태권도 선수</t>
        </is>
      </c>
      <c r="C15" s="13" t="inlineStr">
        <is>
          <t>원문 확인</t>
        </is>
      </c>
      <c r="D15" s="10" t="inlineStr">
        <is>
          <t>PNF 복합운동</t>
        </is>
      </c>
      <c r="E15" s="10" t="inlineStr">
        <is>
          <t>FMS 표준</t>
        </is>
      </c>
      <c r="F15" s="11" t="inlineStr">
        <is>
          <t>실험군</t>
        </is>
      </c>
      <c r="G15" s="13" t="inlineStr">
        <is>
          <t>원문 확인</t>
        </is>
      </c>
      <c r="H15" s="13" t="inlineStr">
        <is>
          <t>원문 확인</t>
        </is>
      </c>
      <c r="I15" s="13" t="inlineStr">
        <is>
          <t>원문 확인</t>
        </is>
      </c>
      <c r="J15" s="13" t="inlineStr">
        <is>
          <t>원문 확인</t>
        </is>
      </c>
      <c r="K15" s="14">
        <f>IF(AND(ISNUMBER(G15),ISNUMBER(I15)),I15-G15,"")</f>
        <v/>
      </c>
      <c r="L15" s="15">
        <f>IF(AND(ISNUMBER(G15),ISNUMBER(I15)),IF(G15&lt;&gt;0,(I15-G15)/G15,""),"")</f>
        <v/>
      </c>
      <c r="M15" s="10" t="inlineStr">
        <is>
          <t>총점과 SM 제외 6개 항목 유의하게 향상</t>
        </is>
      </c>
      <c r="N15" s="10" t="inlineStr">
        <is>
          <t>수치 원문 확인</t>
        </is>
      </c>
      <c r="O15" s="16" t="inlineStr">
        <is>
          <t>링크</t>
        </is>
      </c>
    </row>
  </sheetData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6" customWidth="1" min="3" max="3"/>
    <col width="18" customWidth="1" min="4" max="4"/>
    <col width="10" customWidth="1" min="5" max="5"/>
    <col width="9" customWidth="1" min="6" max="6"/>
    <col width="9" customWidth="1" min="7" max="7"/>
    <col width="30" customWidth="1" min="8" max="8"/>
    <col width="10" customWidth="1" min="9" max="9"/>
  </cols>
  <sheetData>
    <row r="1">
      <c r="A1" s="7" t="inlineStr">
        <is>
          <t>FMS 총점 기준값 (사전값 비교용, 0–21점)</t>
        </is>
      </c>
    </row>
    <row r="2" ht="30" customHeight="1">
      <c r="A2" s="8" t="inlineStr">
        <is>
          <t>중재 없이 측정한 횡단 자료입니다.</t>
        </is>
      </c>
    </row>
    <row r="4" ht="32" customHeight="1">
      <c r="A4" s="9" t="inlineStr">
        <is>
          <t>연구</t>
        </is>
      </c>
      <c r="B4" s="9" t="inlineStr">
        <is>
          <t>대상</t>
        </is>
      </c>
      <c r="C4" s="9" t="inlineStr">
        <is>
          <t>n</t>
        </is>
      </c>
      <c r="D4" s="9" t="inlineStr">
        <is>
          <t>측정 프로토콜</t>
        </is>
      </c>
      <c r="E4" s="9" t="inlineStr">
        <is>
          <t>구분</t>
        </is>
      </c>
      <c r="F4" s="9" t="inlineStr">
        <is>
          <t>평균</t>
        </is>
      </c>
      <c r="G4" s="9" t="inlineStr">
        <is>
          <t>SD</t>
        </is>
      </c>
      <c r="H4" s="9" t="inlineStr">
        <is>
          <t>비고</t>
        </is>
      </c>
      <c r="I4" s="9" t="inlineStr">
        <is>
          <t>출처</t>
        </is>
      </c>
    </row>
    <row r="5" ht="30" customHeight="1">
      <c r="A5" s="10" t="inlineStr">
        <is>
          <t>Pollen 외 (2021), Clin J Sport Med</t>
        </is>
      </c>
      <c r="B5" s="10" t="inlineStr">
        <is>
          <t>고교 선수</t>
        </is>
      </c>
      <c r="C5" s="13" t="inlineStr">
        <is>
          <t>원문 확인</t>
        </is>
      </c>
      <c r="D5" s="11" t="inlineStr">
        <is>
          <t>FMS 표준</t>
        </is>
      </c>
      <c r="E5" s="11" t="inlineStr">
        <is>
          <t>평균</t>
        </is>
      </c>
      <c r="F5" s="12" t="n">
        <v>14.1</v>
      </c>
      <c r="G5" s="13" t="inlineStr">
        <is>
          <t>원문 확인</t>
        </is>
      </c>
      <c r="H5" s="10" t="inlineStr">
        <is>
          <t>36개 연구 종합</t>
        </is>
      </c>
      <c r="I5" s="16" t="inlineStr">
        <is>
          <t>링크</t>
        </is>
      </c>
    </row>
    <row r="6" ht="30" customHeight="1">
      <c r="A6" s="10" t="inlineStr">
        <is>
          <t>Pollen 외 (2021)</t>
        </is>
      </c>
      <c r="B6" s="10" t="inlineStr">
        <is>
          <t>대학 선수</t>
        </is>
      </c>
      <c r="C6" s="13" t="inlineStr">
        <is>
          <t>원문 확인</t>
        </is>
      </c>
      <c r="D6" s="11" t="inlineStr">
        <is>
          <t>FMS 표준</t>
        </is>
      </c>
      <c r="E6" s="11" t="inlineStr">
        <is>
          <t>평균</t>
        </is>
      </c>
      <c r="F6" s="12" t="n">
        <v>14.8</v>
      </c>
      <c r="G6" s="13" t="inlineStr">
        <is>
          <t>원문 확인</t>
        </is>
      </c>
      <c r="H6" s="10" t="inlineStr">
        <is>
          <t>36개 연구 종합</t>
        </is>
      </c>
      <c r="I6" s="16" t="inlineStr">
        <is>
          <t>링크</t>
        </is>
      </c>
    </row>
    <row r="7" ht="30" customHeight="1">
      <c r="A7" s="10" t="inlineStr">
        <is>
          <t>Pollen 외 (2021)</t>
        </is>
      </c>
      <c r="B7" s="10" t="inlineStr">
        <is>
          <t>프로 선수</t>
        </is>
      </c>
      <c r="C7" s="13" t="inlineStr">
        <is>
          <t>원문 확인</t>
        </is>
      </c>
      <c r="D7" s="11" t="inlineStr">
        <is>
          <t>FMS 표준</t>
        </is>
      </c>
      <c r="E7" s="11" t="inlineStr">
        <is>
          <t>평균</t>
        </is>
      </c>
      <c r="F7" s="12" t="n">
        <v>15.7</v>
      </c>
      <c r="G7" s="13" t="inlineStr">
        <is>
          <t>원문 확인</t>
        </is>
      </c>
      <c r="H7" s="10" t="inlineStr">
        <is>
          <t>36개 연구 종합</t>
        </is>
      </c>
      <c r="I7" s="16" t="inlineStr">
        <is>
          <t>링크</t>
        </is>
      </c>
    </row>
    <row r="8" ht="30" customHeight="1">
      <c r="A8" s="10" t="inlineStr">
        <is>
          <t>Schneiders 외 (2011)</t>
        </is>
      </c>
      <c r="B8" s="10" t="inlineStr">
        <is>
          <t>젊은 활동 인구</t>
        </is>
      </c>
      <c r="C8" s="13" t="inlineStr">
        <is>
          <t>원문 확인</t>
        </is>
      </c>
      <c r="D8" s="11" t="inlineStr">
        <is>
          <t>FMS 표준</t>
        </is>
      </c>
      <c r="E8" s="11" t="inlineStr">
        <is>
          <t>평균</t>
        </is>
      </c>
      <c r="F8" s="12" t="n">
        <v>15.7</v>
      </c>
      <c r="G8" s="13" t="inlineStr">
        <is>
          <t>원문 확인</t>
        </is>
      </c>
      <c r="H8" s="10" t="inlineStr">
        <is>
          <t>95% CI 15.4–15.9</t>
        </is>
      </c>
      <c r="I8" s="16" t="inlineStr">
        <is>
          <t>링크</t>
        </is>
      </c>
    </row>
    <row r="9" ht="30" customHeight="1">
      <c r="A9" s="10" t="inlineStr">
        <is>
          <t>게일릭 스포츠 남자 선수 (2013)</t>
        </is>
      </c>
      <c r="B9" s="10" t="inlineStr">
        <is>
          <t>남자 선수</t>
        </is>
      </c>
      <c r="C9" s="13" t="inlineStr">
        <is>
          <t>원문 확인</t>
        </is>
      </c>
      <c r="D9" s="11" t="inlineStr">
        <is>
          <t>FMS 표준</t>
        </is>
      </c>
      <c r="E9" s="11" t="inlineStr">
        <is>
          <t>평균</t>
        </is>
      </c>
      <c r="F9" s="12" t="n">
        <v>15.56</v>
      </c>
      <c r="G9" s="12" t="n">
        <v>1.46</v>
      </c>
      <c r="H9" s="10" t="inlineStr"/>
      <c r="I9" s="16" t="inlineStr">
        <is>
          <t>링크</t>
        </is>
      </c>
    </row>
    <row r="10" ht="30" customHeight="1">
      <c r="A10" s="10" t="inlineStr">
        <is>
          <t>청소년 학생 기준값</t>
        </is>
      </c>
      <c r="B10" s="10" t="inlineStr">
        <is>
          <t>청소년</t>
        </is>
      </c>
      <c r="C10" s="13" t="inlineStr">
        <is>
          <t>원문 확인</t>
        </is>
      </c>
      <c r="D10" s="11" t="inlineStr">
        <is>
          <t>FMS 표준</t>
        </is>
      </c>
      <c r="E10" s="11" t="inlineStr">
        <is>
          <t>평균</t>
        </is>
      </c>
      <c r="F10" s="12" t="n">
        <v>14.59</v>
      </c>
      <c r="G10" s="13" t="inlineStr">
        <is>
          <t>원문 확인</t>
        </is>
      </c>
      <c r="H10" s="10" t="inlineStr">
        <is>
          <t>95% CI 14.43–14.74</t>
        </is>
      </c>
      <c r="I10" s="16" t="inlineStr">
        <is>
          <t>링크</t>
        </is>
      </c>
    </row>
    <row r="11" ht="30" customHeight="1">
      <c r="A11" s="10" t="inlineStr">
        <is>
          <t>대학생 100명</t>
        </is>
      </c>
      <c r="B11" s="10" t="inlineStr">
        <is>
          <t>대학생</t>
        </is>
      </c>
      <c r="C11" s="11" t="n">
        <v>100</v>
      </c>
      <c r="D11" s="11" t="inlineStr">
        <is>
          <t>FMS 표준</t>
        </is>
      </c>
      <c r="E11" s="11" t="inlineStr">
        <is>
          <t>평균</t>
        </is>
      </c>
      <c r="F11" s="12" t="n">
        <v>14.4</v>
      </c>
      <c r="G11" s="13" t="inlineStr">
        <is>
          <t>원문 확인</t>
        </is>
      </c>
      <c r="H11" s="10" t="inlineStr"/>
      <c r="I11" s="16" t="inlineStr">
        <is>
          <t>링크</t>
        </is>
      </c>
    </row>
  </sheetData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6" customWidth="1" min="3" max="3"/>
    <col width="24" customWidth="1" min="4" max="4"/>
    <col width="18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26" customWidth="1" min="13" max="13"/>
    <col width="26" customWidth="1" min="14" max="14"/>
    <col width="10" customWidth="1" min="15" max="15"/>
  </cols>
  <sheetData>
    <row r="1">
      <c r="A1" s="7" t="inlineStr">
        <is>
          <t>FMS 하위항목 사전/사후 (각 0–3점)</t>
        </is>
      </c>
    </row>
    <row r="2" ht="30" customHeight="1">
      <c r="A2" s="8" t="inlineStr">
        <is>
          <t>선수 대상 항목별 사전·사후 자료는 드뭅니다. 아래는 확인된 값만 적었고, 대부분 비선수 자료입니다.</t>
        </is>
      </c>
    </row>
    <row r="4" ht="32" customHeight="1">
      <c r="A4" s="9" t="inlineStr">
        <is>
          <t>연구</t>
        </is>
      </c>
      <c r="B4" s="9" t="inlineStr">
        <is>
          <t>대상</t>
        </is>
      </c>
      <c r="C4" s="9" t="inlineStr">
        <is>
          <t>n</t>
        </is>
      </c>
      <c r="D4" s="9" t="inlineStr">
        <is>
          <t>중재·기간</t>
        </is>
      </c>
      <c r="E4" s="9" t="inlineStr">
        <is>
          <t>측정 프로토콜</t>
        </is>
      </c>
      <c r="F4" s="9" t="inlineStr">
        <is>
          <t>집단</t>
        </is>
      </c>
      <c r="G4" s="9" t="inlineStr">
        <is>
          <t>사전 M</t>
        </is>
      </c>
      <c r="H4" s="9" t="inlineStr">
        <is>
          <t>사전 SD</t>
        </is>
      </c>
      <c r="I4" s="9" t="inlineStr">
        <is>
          <t>사후 M</t>
        </is>
      </c>
      <c r="J4" s="9" t="inlineStr">
        <is>
          <t>사후 SD</t>
        </is>
      </c>
      <c r="K4" s="9" t="inlineStr">
        <is>
          <t>변화량
(자동)</t>
        </is>
      </c>
      <c r="L4" s="9" t="inlineStr">
        <is>
          <t>변화율
(자동)</t>
        </is>
      </c>
      <c r="M4" s="9" t="inlineStr">
        <is>
          <t>보고된 변화·결과</t>
        </is>
      </c>
      <c r="N4" s="9" t="inlineStr">
        <is>
          <t>근거 수준 / 비고</t>
        </is>
      </c>
      <c r="O4" s="9" t="inlineStr">
        <is>
          <t>출처</t>
        </is>
      </c>
    </row>
    <row r="5" ht="44" customHeight="1">
      <c r="A5" s="10" t="inlineStr">
        <is>
          <t>Frost 외 (2015) — Deep Squat</t>
        </is>
      </c>
      <c r="B5" s="10" t="inlineStr">
        <is>
          <t>소방관</t>
        </is>
      </c>
      <c r="C5" s="13" t="inlineStr">
        <is>
          <t>원문 확인</t>
        </is>
      </c>
      <c r="D5" s="10" t="inlineStr">
        <is>
          <t>채점 기준 안내 후 재검사</t>
        </is>
      </c>
      <c r="E5" s="10" t="inlineStr">
        <is>
          <t>FMS 표준</t>
        </is>
      </c>
      <c r="F5" s="11" t="inlineStr">
        <is>
          <t>단일군</t>
        </is>
      </c>
      <c r="G5" s="12" t="n">
        <v>1.4</v>
      </c>
      <c r="H5" s="12" t="n">
        <v>0.7</v>
      </c>
      <c r="I5" s="12" t="n">
        <v>2</v>
      </c>
      <c r="J5" s="12" t="n">
        <v>0.6</v>
      </c>
      <c r="K5" s="14">
        <f>IF(AND(ISNUMBER(G5),ISNUMBER(I5)),I5-G5,"")</f>
        <v/>
      </c>
      <c r="L5" s="15">
        <f>IF(AND(ISNUMBER(G5),ISNUMBER(I5)),IF(G5&lt;&gt;0,(I5-G5)/G5,""),"")</f>
        <v/>
      </c>
      <c r="M5" s="10" t="inlineStr"/>
      <c r="N5" s="10" t="inlineStr">
        <is>
          <t>학습효과 연구</t>
        </is>
      </c>
      <c r="O5" s="16" t="inlineStr">
        <is>
          <t>링크</t>
        </is>
      </c>
    </row>
    <row r="6" ht="44" customHeight="1">
      <c r="A6" s="10" t="inlineStr">
        <is>
          <t>Frost 외 (2015) — Hurdle Step</t>
        </is>
      </c>
      <c r="B6" s="10" t="inlineStr">
        <is>
          <t>소방관</t>
        </is>
      </c>
      <c r="C6" s="13" t="inlineStr">
        <is>
          <t>원문 확인</t>
        </is>
      </c>
      <c r="D6" s="10" t="inlineStr">
        <is>
          <t>채점 기준 안내 후 재검사</t>
        </is>
      </c>
      <c r="E6" s="10" t="inlineStr">
        <is>
          <t>FMS 표준</t>
        </is>
      </c>
      <c r="F6" s="11" t="inlineStr">
        <is>
          <t>단일군</t>
        </is>
      </c>
      <c r="G6" s="12" t="n">
        <v>2.1</v>
      </c>
      <c r="H6" s="12" t="n">
        <v>0.4</v>
      </c>
      <c r="I6" s="12" t="n">
        <v>2.4</v>
      </c>
      <c r="J6" s="12" t="n">
        <v>0.5</v>
      </c>
      <c r="K6" s="14">
        <f>IF(AND(ISNUMBER(G6),ISNUMBER(I6)),I6-G6,"")</f>
        <v/>
      </c>
      <c r="L6" s="15">
        <f>IF(AND(ISNUMBER(G6),ISNUMBER(I6)),IF(G6&lt;&gt;0,(I6-G6)/G6,""),"")</f>
        <v/>
      </c>
      <c r="M6" s="10" t="inlineStr"/>
      <c r="N6" s="10" t="inlineStr">
        <is>
          <t>학습효과 연구</t>
        </is>
      </c>
      <c r="O6" s="16" t="inlineStr">
        <is>
          <t>링크</t>
        </is>
      </c>
    </row>
    <row r="7" ht="44" customHeight="1">
      <c r="A7" s="10" t="inlineStr">
        <is>
          <t>Frost 외 (2015) — In-line Lunge</t>
        </is>
      </c>
      <c r="B7" s="10" t="inlineStr">
        <is>
          <t>소방관</t>
        </is>
      </c>
      <c r="C7" s="13" t="inlineStr">
        <is>
          <t>원문 확인</t>
        </is>
      </c>
      <c r="D7" s="10" t="inlineStr">
        <is>
          <t>채점 기준 안내 후 재검사</t>
        </is>
      </c>
      <c r="E7" s="10" t="inlineStr">
        <is>
          <t>FMS 표준</t>
        </is>
      </c>
      <c r="F7" s="11" t="inlineStr">
        <is>
          <t>단일군</t>
        </is>
      </c>
      <c r="G7" s="12" t="n">
        <v>2.1</v>
      </c>
      <c r="H7" s="12" t="n">
        <v>0.4</v>
      </c>
      <c r="I7" s="12" t="n">
        <v>2.7</v>
      </c>
      <c r="J7" s="12" t="n">
        <v>0.5</v>
      </c>
      <c r="K7" s="14">
        <f>IF(AND(ISNUMBER(G7),ISNUMBER(I7)),I7-G7,"")</f>
        <v/>
      </c>
      <c r="L7" s="15">
        <f>IF(AND(ISNUMBER(G7),ISNUMBER(I7)),IF(G7&lt;&gt;0,(I7-G7)/G7,""),"")</f>
        <v/>
      </c>
      <c r="M7" s="10" t="inlineStr"/>
      <c r="N7" s="10" t="inlineStr">
        <is>
          <t>학습효과 연구</t>
        </is>
      </c>
      <c r="O7" s="16" t="inlineStr">
        <is>
          <t>링크</t>
        </is>
      </c>
    </row>
    <row r="8" ht="44" customHeight="1">
      <c r="A8" s="10" t="inlineStr">
        <is>
          <t>Frost 외 (2015) — Rotary Stability</t>
        </is>
      </c>
      <c r="B8" s="10" t="inlineStr">
        <is>
          <t>소방관</t>
        </is>
      </c>
      <c r="C8" s="13" t="inlineStr">
        <is>
          <t>원문 확인</t>
        </is>
      </c>
      <c r="D8" s="10" t="inlineStr">
        <is>
          <t>채점 기준 안내 후 재검사</t>
        </is>
      </c>
      <c r="E8" s="10" t="inlineStr">
        <is>
          <t>FMS 표준</t>
        </is>
      </c>
      <c r="F8" s="11" t="inlineStr">
        <is>
          <t>단일군</t>
        </is>
      </c>
      <c r="G8" s="12" t="n">
        <v>2.3</v>
      </c>
      <c r="H8" s="12" t="n">
        <v>0.5</v>
      </c>
      <c r="I8" s="12" t="n">
        <v>2.4</v>
      </c>
      <c r="J8" s="12" t="n">
        <v>0.5</v>
      </c>
      <c r="K8" s="14">
        <f>IF(AND(ISNUMBER(G8),ISNUMBER(I8)),I8-G8,"")</f>
        <v/>
      </c>
      <c r="L8" s="15">
        <f>IF(AND(ISNUMBER(G8),ISNUMBER(I8)),IF(G8&lt;&gt;0,(I8-G8)/G8,""),"")</f>
        <v/>
      </c>
      <c r="M8" s="10" t="inlineStr"/>
      <c r="N8" s="10" t="inlineStr">
        <is>
          <t>학습효과 연구</t>
        </is>
      </c>
      <c r="O8" s="16" t="inlineStr">
        <is>
          <t>링크</t>
        </is>
      </c>
    </row>
    <row r="9" ht="44" customHeight="1">
      <c r="A9" s="10" t="inlineStr">
        <is>
          <t>고교 선수 기준값 — Trunk Stability Push-up</t>
        </is>
      </c>
      <c r="B9" s="10" t="inlineStr">
        <is>
          <t>고교 선수</t>
        </is>
      </c>
      <c r="C9" s="13" t="inlineStr">
        <is>
          <t>원문 확인</t>
        </is>
      </c>
      <c r="D9" s="10" t="inlineStr">
        <is>
          <t>횡단</t>
        </is>
      </c>
      <c r="E9" s="10" t="inlineStr">
        <is>
          <t>FMS 표준</t>
        </is>
      </c>
      <c r="F9" s="11" t="inlineStr">
        <is>
          <t>집단 A</t>
        </is>
      </c>
      <c r="G9" s="12" t="n">
        <v>1.2</v>
      </c>
      <c r="H9" s="12" t="n">
        <v>0.49</v>
      </c>
      <c r="I9" s="11" t="n"/>
      <c r="J9" s="11" t="n"/>
      <c r="K9" s="14">
        <f>IF(AND(ISNUMBER(G9),ISNUMBER(I9)),I9-G9,"")</f>
        <v/>
      </c>
      <c r="L9" s="15">
        <f>IF(AND(ISNUMBER(G9),ISNUMBER(I9)),IF(G9&lt;&gt;0,(I9-G9)/G9,""),"")</f>
        <v/>
      </c>
      <c r="M9" s="10" t="inlineStr"/>
      <c r="N9" s="10" t="inlineStr">
        <is>
          <t>두 집단의 구분 원문 확인. 사전값 참고용</t>
        </is>
      </c>
      <c r="O9" s="16" t="inlineStr">
        <is>
          <t>링크</t>
        </is>
      </c>
    </row>
    <row r="10" ht="44" customHeight="1">
      <c r="A10" s="10" t="inlineStr">
        <is>
          <t>고교 선수 기준값 — Trunk Stability Push-up</t>
        </is>
      </c>
      <c r="B10" s="10" t="inlineStr">
        <is>
          <t>고교 선수</t>
        </is>
      </c>
      <c r="C10" s="13" t="inlineStr">
        <is>
          <t>원문 확인</t>
        </is>
      </c>
      <c r="D10" s="10" t="inlineStr">
        <is>
          <t>횡단</t>
        </is>
      </c>
      <c r="E10" s="10" t="inlineStr">
        <is>
          <t>FMS 표준</t>
        </is>
      </c>
      <c r="F10" s="11" t="inlineStr">
        <is>
          <t>집단 B</t>
        </is>
      </c>
      <c r="G10" s="12" t="n">
        <v>1.41</v>
      </c>
      <c r="H10" s="12" t="n">
        <v>0.72</v>
      </c>
      <c r="I10" s="11" t="n"/>
      <c r="J10" s="11" t="n"/>
      <c r="K10" s="14">
        <f>IF(AND(ISNUMBER(G10),ISNUMBER(I10)),I10-G10,"")</f>
        <v/>
      </c>
      <c r="L10" s="15">
        <f>IF(AND(ISNUMBER(G10),ISNUMBER(I10)),IF(G10&lt;&gt;0,(I10-G10)/G10,""),"")</f>
        <v/>
      </c>
      <c r="M10" s="10" t="inlineStr"/>
      <c r="N10" s="10" t="inlineStr">
        <is>
          <t>두 집단의 구분 원문 확인</t>
        </is>
      </c>
      <c r="O10" s="16" t="inlineStr">
        <is>
          <t>링크</t>
        </is>
      </c>
    </row>
    <row r="11" ht="44" customHeight="1">
      <c r="A11" s="10" t="inlineStr">
        <is>
          <t>고교 선수 기준값 — Rotary Stability</t>
        </is>
      </c>
      <c r="B11" s="10" t="inlineStr">
        <is>
          <t>고교 선수</t>
        </is>
      </c>
      <c r="C11" s="13" t="inlineStr">
        <is>
          <t>원문 확인</t>
        </is>
      </c>
      <c r="D11" s="10" t="inlineStr">
        <is>
          <t>횡단</t>
        </is>
      </c>
      <c r="E11" s="10" t="inlineStr">
        <is>
          <t>FMS 표준</t>
        </is>
      </c>
      <c r="F11" s="11" t="inlineStr">
        <is>
          <t>집단 A</t>
        </is>
      </c>
      <c r="G11" s="12" t="n">
        <v>1.51</v>
      </c>
      <c r="H11" s="12" t="n">
        <v>0.53</v>
      </c>
      <c r="I11" s="11" t="n"/>
      <c r="J11" s="11" t="n"/>
      <c r="K11" s="14">
        <f>IF(AND(ISNUMBER(G11),ISNUMBER(I11)),I11-G11,"")</f>
        <v/>
      </c>
      <c r="L11" s="15">
        <f>IF(AND(ISNUMBER(G11),ISNUMBER(I11)),IF(G11&lt;&gt;0,(I11-G11)/G11,""),"")</f>
        <v/>
      </c>
      <c r="M11" s="10" t="inlineStr"/>
      <c r="N11" s="10" t="inlineStr">
        <is>
          <t>두 집단의 구분 원문 확인</t>
        </is>
      </c>
      <c r="O11" s="16" t="inlineStr">
        <is>
          <t>링크</t>
        </is>
      </c>
    </row>
    <row r="12" ht="44" customHeight="1">
      <c r="A12" s="10" t="inlineStr">
        <is>
          <t>고교 선수 기준값 — Rotary Stability</t>
        </is>
      </c>
      <c r="B12" s="10" t="inlineStr">
        <is>
          <t>고교 선수</t>
        </is>
      </c>
      <c r="C12" s="13" t="inlineStr">
        <is>
          <t>원문 확인</t>
        </is>
      </c>
      <c r="D12" s="10" t="inlineStr">
        <is>
          <t>횡단</t>
        </is>
      </c>
      <c r="E12" s="10" t="inlineStr">
        <is>
          <t>FMS 표준</t>
        </is>
      </c>
      <c r="F12" s="11" t="inlineStr">
        <is>
          <t>집단 B</t>
        </is>
      </c>
      <c r="G12" s="12" t="n">
        <v>1.56</v>
      </c>
      <c r="H12" s="12" t="n">
        <v>0.55</v>
      </c>
      <c r="I12" s="11" t="n"/>
      <c r="J12" s="11" t="n"/>
      <c r="K12" s="14">
        <f>IF(AND(ISNUMBER(G12),ISNUMBER(I12)),I12-G12,"")</f>
        <v/>
      </c>
      <c r="L12" s="15">
        <f>IF(AND(ISNUMBER(G12),ISNUMBER(I12)),IF(G12&lt;&gt;0,(I12-G12)/G12,""),"")</f>
        <v/>
      </c>
      <c r="M12" s="10" t="inlineStr"/>
      <c r="N12" s="10" t="inlineStr">
        <is>
          <t>두 집단의 구분 원문 확인</t>
        </is>
      </c>
      <c r="O12" s="16" t="inlineStr">
        <is>
          <t>링크</t>
        </is>
      </c>
    </row>
    <row r="13" ht="44" customHeight="1">
      <c r="A13" s="10" t="inlineStr">
        <is>
          <t>이진 외 (2017) — Deep Squat</t>
        </is>
      </c>
      <c r="B13" s="10" t="inlineStr">
        <is>
          <t>일반 성인</t>
        </is>
      </c>
      <c r="C13" s="11" t="n">
        <v>18</v>
      </c>
      <c r="D13" s="10" t="inlineStr">
        <is>
          <t>횡단</t>
        </is>
      </c>
      <c r="E13" s="10" t="inlineStr">
        <is>
          <t>FMS 표준</t>
        </is>
      </c>
      <c r="F13" s="11" t="inlineStr">
        <is>
          <t>전체</t>
        </is>
      </c>
      <c r="G13" s="12" t="n">
        <v>2.61</v>
      </c>
      <c r="H13" s="13" t="inlineStr">
        <is>
          <t>원문 확인</t>
        </is>
      </c>
      <c r="I13" s="11" t="n"/>
      <c r="J13" s="11" t="n"/>
      <c r="K13" s="14">
        <f>IF(AND(ISNUMBER(G13),ISNUMBER(I13)),I13-G13,"")</f>
        <v/>
      </c>
      <c r="L13" s="15">
        <f>IF(AND(ISNUMBER(G13),ISNUMBER(I13)),IF(G13&lt;&gt;0,(I13-G13)/G13,""),"")</f>
        <v/>
      </c>
      <c r="M13" s="10" t="inlineStr"/>
      <c r="N13" s="10" t="inlineStr">
        <is>
          <t>비선수</t>
        </is>
      </c>
      <c r="O13" s="16" t="inlineStr">
        <is>
          <t>링크</t>
        </is>
      </c>
    </row>
    <row r="14" ht="44" customHeight="1">
      <c r="A14" s="10" t="inlineStr">
        <is>
          <t>이진 외 (2017) — Hurdle Step(우)</t>
        </is>
      </c>
      <c r="B14" s="10" t="inlineStr">
        <is>
          <t>일반 성인</t>
        </is>
      </c>
      <c r="C14" s="11" t="n">
        <v>18</v>
      </c>
      <c r="D14" s="10" t="inlineStr">
        <is>
          <t>횡단</t>
        </is>
      </c>
      <c r="E14" s="10" t="inlineStr">
        <is>
          <t>FMS 표준</t>
        </is>
      </c>
      <c r="F14" s="11" t="inlineStr">
        <is>
          <t>전체</t>
        </is>
      </c>
      <c r="G14" s="12" t="n">
        <v>2.67</v>
      </c>
      <c r="H14" s="13" t="inlineStr">
        <is>
          <t>원문 확인</t>
        </is>
      </c>
      <c r="I14" s="11" t="n"/>
      <c r="J14" s="11" t="n"/>
      <c r="K14" s="14">
        <f>IF(AND(ISNUMBER(G14),ISNUMBER(I14)),I14-G14,"")</f>
        <v/>
      </c>
      <c r="L14" s="15">
        <f>IF(AND(ISNUMBER(G14),ISNUMBER(I14)),IF(G14&lt;&gt;0,(I14-G14)/G14,""),"")</f>
        <v/>
      </c>
      <c r="M14" s="10" t="inlineStr"/>
      <c r="N14" s="10" t="inlineStr">
        <is>
          <t>비선수</t>
        </is>
      </c>
      <c r="O14" s="16" t="inlineStr">
        <is>
          <t>링크</t>
        </is>
      </c>
    </row>
  </sheetData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26" customWidth="1" min="3" max="3"/>
    <col width="10" customWidth="1" min="4" max="4"/>
    <col width="9" customWidth="1" min="5" max="5"/>
    <col width="10" customWidth="1" min="6" max="6"/>
    <col width="10" customWidth="1" min="7" max="7"/>
    <col width="34" customWidth="1" min="8" max="8"/>
    <col width="10" customWidth="1" min="9" max="9"/>
  </cols>
  <sheetData>
    <row r="1">
      <c r="A1" s="7" t="inlineStr">
        <is>
          <t>메타분석·체계적 고찰의 평균 효과</t>
        </is>
      </c>
    </row>
    <row r="2" ht="30" customHeight="1">
      <c r="A2" s="8" t="inlineStr">
        <is>
          <t>평균 차이(MD)는 원 단위(mL/kg/min 또는 점), SMD는 표준화 효과크기입니다.</t>
        </is>
      </c>
    </row>
    <row r="4" ht="32" customHeight="1">
      <c r="A4" s="9" t="inlineStr">
        <is>
          <t>연구</t>
        </is>
      </c>
      <c r="B4" s="9" t="inlineStr">
        <is>
          <t>변인</t>
        </is>
      </c>
      <c r="C4" s="9" t="inlineStr">
        <is>
          <t>비교</t>
        </is>
      </c>
      <c r="D4" s="9" t="inlineStr">
        <is>
          <t>효과 지표</t>
        </is>
      </c>
      <c r="E4" s="9" t="inlineStr">
        <is>
          <t>효과</t>
        </is>
      </c>
      <c r="F4" s="9" t="inlineStr">
        <is>
          <t>95% CI 하한</t>
        </is>
      </c>
      <c r="G4" s="9" t="inlineStr">
        <is>
          <t>95% CI 상한</t>
        </is>
      </c>
      <c r="H4" s="9" t="inlineStr">
        <is>
          <t>비고</t>
        </is>
      </c>
      <c r="I4" s="9" t="inlineStr">
        <is>
          <t>출처</t>
        </is>
      </c>
    </row>
    <row r="5" ht="30" customHeight="1">
      <c r="A5" s="10" t="inlineStr">
        <is>
          <t>Vasconcelos 외 (2019), J Strength Cond Res</t>
        </is>
      </c>
      <c r="B5" s="10" t="inlineStr">
        <is>
          <t>VO2max</t>
        </is>
      </c>
      <c r="C5" s="10" t="inlineStr">
        <is>
          <t>투기종목(타격계) HIIT</t>
        </is>
      </c>
      <c r="D5" s="11" t="inlineStr">
        <is>
          <t>MD</t>
        </is>
      </c>
      <c r="E5" s="12" t="n">
        <v>2.83</v>
      </c>
      <c r="F5" s="12" t="n">
        <v>0.4</v>
      </c>
      <c r="G5" s="12" t="n">
        <v>5.25</v>
      </c>
      <c r="H5" s="10" t="inlineStr">
        <is>
          <t>다른 투기종목 군 2.36. 개별 연구 향상폭 4.6–16.3%. 단위 표기 원문 확인</t>
        </is>
      </c>
      <c r="I5" s="16" t="inlineStr">
        <is>
          <t>링크</t>
        </is>
      </c>
    </row>
    <row r="6" ht="30" customHeight="1">
      <c r="A6" s="10" t="inlineStr">
        <is>
          <t>무술 선수 HIIT RCT 메타분석 (2026)</t>
        </is>
      </c>
      <c r="B6" s="10" t="inlineStr">
        <is>
          <t>VO2max</t>
        </is>
      </c>
      <c r="C6" s="10" t="inlineStr">
        <is>
          <t>HIIT vs 대조</t>
        </is>
      </c>
      <c r="D6" s="11" t="inlineStr">
        <is>
          <t>SMD</t>
        </is>
      </c>
      <c r="E6" s="12" t="n">
        <v>1.04</v>
      </c>
      <c r="F6" s="12" t="n">
        <v>0.74</v>
      </c>
      <c r="G6" s="12" t="n">
        <v>1.33</v>
      </c>
      <c r="H6" s="10" t="inlineStr">
        <is>
          <t>I² = 16.3%</t>
        </is>
      </c>
      <c r="I6" s="16" t="inlineStr">
        <is>
          <t>링크</t>
        </is>
      </c>
    </row>
    <row r="7" ht="30" customHeight="1">
      <c r="A7" s="10" t="inlineStr">
        <is>
          <t>Ma 외 (2023), Heliyon</t>
        </is>
      </c>
      <c r="B7" s="10" t="inlineStr">
        <is>
          <t>VO2max</t>
        </is>
      </c>
      <c r="C7" s="10" t="inlineStr">
        <is>
          <t>엘리트 선수 HIIT vs 기존 훈련</t>
        </is>
      </c>
      <c r="D7" s="11" t="inlineStr">
        <is>
          <t>SMD</t>
        </is>
      </c>
      <c r="E7" s="12" t="n">
        <v>0.58</v>
      </c>
      <c r="F7" s="12" t="n">
        <v>0.3</v>
      </c>
      <c r="G7" s="12" t="n">
        <v>0.87</v>
      </c>
      <c r="H7" s="10" t="inlineStr">
        <is>
          <t>9개 연구, 176명</t>
        </is>
      </c>
      <c r="I7" s="16" t="inlineStr">
        <is>
          <t>링크</t>
        </is>
      </c>
    </row>
    <row r="8" ht="30" customHeight="1">
      <c r="A8" s="10" t="inlineStr">
        <is>
          <t>Maleki 외 (2025), Sci Rep</t>
        </is>
      </c>
      <c r="B8" s="10" t="inlineStr">
        <is>
          <t>FMS 총점</t>
        </is>
      </c>
      <c r="C8" s="10" t="inlineStr">
        <is>
          <t>코어 안정성 훈련</t>
        </is>
      </c>
      <c r="D8" s="11" t="inlineStr">
        <is>
          <t>MD</t>
        </is>
      </c>
      <c r="E8" s="12" t="n">
        <v>2.89</v>
      </c>
      <c r="F8" s="12" t="n">
        <v>2.46</v>
      </c>
      <c r="G8" s="12" t="n">
        <v>3.32</v>
      </c>
      <c r="H8" s="10" t="inlineStr">
        <is>
          <t>40개 연구, 선수 1,604명</t>
        </is>
      </c>
      <c r="I8" s="16" t="inlineStr">
        <is>
          <t>링크</t>
        </is>
      </c>
    </row>
    <row r="9" ht="30" customHeight="1">
      <c r="A9" s="10" t="inlineStr">
        <is>
          <t>Maleki 외 (2025)</t>
        </is>
      </c>
      <c r="B9" s="10" t="inlineStr">
        <is>
          <t>FMS 총점</t>
        </is>
      </c>
      <c r="C9" s="10" t="inlineStr">
        <is>
          <t>신경근 훈련</t>
        </is>
      </c>
      <c r="D9" s="11" t="inlineStr">
        <is>
          <t>MD</t>
        </is>
      </c>
      <c r="E9" s="12" t="n">
        <v>2.31</v>
      </c>
      <c r="F9" s="12" t="n">
        <v>1.64</v>
      </c>
      <c r="G9" s="12" t="n">
        <v>2.98</v>
      </c>
      <c r="H9" s="10" t="inlineStr"/>
      <c r="I9" s="16" t="inlineStr">
        <is>
          <t>링크</t>
        </is>
      </c>
    </row>
    <row r="10" ht="30" customHeight="1">
      <c r="A10" s="10" t="inlineStr">
        <is>
          <t>Maleki 외 (2025)</t>
        </is>
      </c>
      <c r="B10" s="10" t="inlineStr">
        <is>
          <t>FMS 총점</t>
        </is>
      </c>
      <c r="C10" s="10" t="inlineStr">
        <is>
          <t>저항 훈련</t>
        </is>
      </c>
      <c r="D10" s="11" t="inlineStr">
        <is>
          <t>MD</t>
        </is>
      </c>
      <c r="E10" s="12" t="n">
        <v>2.21</v>
      </c>
      <c r="F10" s="12" t="n">
        <v>1.82</v>
      </c>
      <c r="G10" s="12" t="n">
        <v>2.61</v>
      </c>
      <c r="H10" s="10" t="inlineStr"/>
      <c r="I10" s="16" t="inlineStr">
        <is>
          <t>링크</t>
        </is>
      </c>
    </row>
    <row r="11" ht="30" customHeight="1">
      <c r="A11" s="10" t="inlineStr">
        <is>
          <t>Maleki 외 (2025)</t>
        </is>
      </c>
      <c r="B11" s="10" t="inlineStr">
        <is>
          <t>FMS 총점</t>
        </is>
      </c>
      <c r="C11" s="10" t="inlineStr">
        <is>
          <t>통합 훈련</t>
        </is>
      </c>
      <c r="D11" s="11" t="inlineStr">
        <is>
          <t>MD</t>
        </is>
      </c>
      <c r="E11" s="12" t="n">
        <v>1.92</v>
      </c>
      <c r="F11" s="12" t="n">
        <v>1.57</v>
      </c>
      <c r="G11" s="12" t="n">
        <v>2.27</v>
      </c>
      <c r="H11" s="10" t="inlineStr"/>
      <c r="I11" s="16" t="inlineStr">
        <is>
          <t>링크</t>
        </is>
      </c>
    </row>
    <row r="12" ht="30" customHeight="1">
      <c r="A12" s="10" t="inlineStr">
        <is>
          <t>Maleki 외 (2025)</t>
        </is>
      </c>
      <c r="B12" s="10" t="inlineStr">
        <is>
          <t>FMS 총점</t>
        </is>
      </c>
      <c r="C12" s="10" t="inlineStr">
        <is>
          <t>기능성 훈련</t>
        </is>
      </c>
      <c r="D12" s="11" t="inlineStr">
        <is>
          <t>MD</t>
        </is>
      </c>
      <c r="E12" s="12" t="n">
        <v>1.74</v>
      </c>
      <c r="F12" s="12" t="n">
        <v>1.34</v>
      </c>
      <c r="G12" s="12" t="n">
        <v>2.13</v>
      </c>
      <c r="H12" s="10" t="inlineStr">
        <is>
          <t>이 연구의 H-IFIT와 가장 가까운 유형</t>
        </is>
      </c>
      <c r="I12" s="16" t="inlineStr">
        <is>
          <t>링크</t>
        </is>
      </c>
    </row>
    <row r="13" ht="30" customHeight="1">
      <c r="A13" s="10" t="inlineStr">
        <is>
          <t>Maleki 외 (2025)</t>
        </is>
      </c>
      <c r="B13" s="10" t="inlineStr">
        <is>
          <t>FMS 총점</t>
        </is>
      </c>
      <c r="C13" s="10" t="inlineStr">
        <is>
          <t>FIFA 11+ 준비운동</t>
        </is>
      </c>
      <c r="D13" s="11" t="inlineStr">
        <is>
          <t>MD</t>
        </is>
      </c>
      <c r="E13" s="12" t="n">
        <v>1.69</v>
      </c>
      <c r="F13" s="12" t="n">
        <v>0.79</v>
      </c>
      <c r="G13" s="12" t="n">
        <v>2.6</v>
      </c>
      <c r="H13" s="10" t="inlineStr">
        <is>
          <t>이질성 높음</t>
        </is>
      </c>
      <c r="I13" s="16" t="inlineStr">
        <is>
          <t>링크</t>
        </is>
      </c>
    </row>
    <row r="14" ht="30" customHeight="1">
      <c r="A14" s="10" t="inlineStr">
        <is>
          <t>고위험 선수 체계적 고찰 (2022)</t>
        </is>
      </c>
      <c r="B14" s="10" t="inlineStr">
        <is>
          <t>FMS 총점</t>
        </is>
      </c>
      <c r="C14" s="10" t="inlineStr">
        <is>
          <t>각종 중재(6개 연구)</t>
        </is>
      </c>
      <c r="D14" s="11" t="inlineStr">
        <is>
          <t>평균 증가</t>
        </is>
      </c>
      <c r="E14" s="12" t="n">
        <v>3.28</v>
      </c>
      <c r="F14" s="11" t="n"/>
      <c r="G14" s="11" t="n"/>
      <c r="H14" s="10" t="inlineStr">
        <is>
          <t>주 1–4회, 6–8주</t>
        </is>
      </c>
      <c r="I14" s="16" t="inlineStr">
        <is>
          <t>링크</t>
        </is>
      </c>
    </row>
    <row r="15" ht="30" customHeight="1">
      <c r="A15" s="10" t="inlineStr">
        <is>
          <t>Teyhen 외 (2012), JOSPT</t>
        </is>
      </c>
      <c r="B15" s="10" t="inlineStr">
        <is>
          <t>FMS 총점</t>
        </is>
      </c>
      <c r="C15" s="10" t="inlineStr">
        <is>
          <t>측정오차(최소탐지변화량)</t>
        </is>
      </c>
      <c r="D15" s="11" t="inlineStr">
        <is>
          <t>MDC</t>
        </is>
      </c>
      <c r="E15" s="12" t="n">
        <v>2.1</v>
      </c>
      <c r="F15" s="11" t="n"/>
      <c r="G15" s="11" t="n"/>
      <c r="H15" s="10" t="inlineStr">
        <is>
          <t>평가자 간 2.1점, 평가자 내 2.5점</t>
        </is>
      </c>
      <c r="I15" s="16" t="inlineStr">
        <is>
          <t>링크</t>
        </is>
      </c>
    </row>
  </sheetData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10" customWidth="1" min="8" max="8"/>
    <col width="46" customWidth="1" min="9" max="9"/>
    <col width="10" customWidth="1" min="10" max="10"/>
  </cols>
  <sheetData>
    <row r="1">
      <c r="A1" s="7" t="inlineStr">
        <is>
          <t>참고범위 요약 (대학 겨루기 선수, 12주 중재 기준으로 선행연구를 종합한 범위)</t>
        </is>
      </c>
    </row>
    <row r="2" ht="30" customHeight="1">
      <c r="A2" s="8" t="inlineStr">
        <is>
          <t>위 시트들의 값을 종합해 정리한 참고 범위입니다. 개별 연구 값이 아니며, 하위항목은 근거가 약합니다. 재분석 결과의 타당성 확인과 논의 비교에만 쓰세요.</t>
        </is>
      </c>
    </row>
    <row r="4" ht="32" customHeight="1">
      <c r="A4" s="9" t="inlineStr">
        <is>
          <t>변인</t>
        </is>
      </c>
      <c r="B4" s="9" t="inlineStr">
        <is>
          <t>집단</t>
        </is>
      </c>
      <c r="C4" s="9" t="inlineStr">
        <is>
          <t>사전 하한</t>
        </is>
      </c>
      <c r="D4" s="9" t="inlineStr">
        <is>
          <t>사전 상한</t>
        </is>
      </c>
      <c r="E4" s="9" t="inlineStr">
        <is>
          <t>사후 하한</t>
        </is>
      </c>
      <c r="F4" s="9" t="inlineStr">
        <is>
          <t>사후 상한</t>
        </is>
      </c>
      <c r="G4" s="9" t="inlineStr">
        <is>
          <t>변화량 하한</t>
        </is>
      </c>
      <c r="H4" s="9" t="inlineStr">
        <is>
          <t>변화량 상한</t>
        </is>
      </c>
      <c r="I4" s="9" t="inlineStr">
        <is>
          <t>주요 근거</t>
        </is>
      </c>
      <c r="J4" s="9" t="inlineStr">
        <is>
          <t>근거 수준</t>
        </is>
      </c>
    </row>
    <row r="5" ht="30" customHeight="1">
      <c r="A5" s="10" t="inlineStr">
        <is>
          <t>VO2max (mL/kg/min)</t>
        </is>
      </c>
      <c r="B5" s="11" t="inlineStr">
        <is>
          <t>실험군</t>
        </is>
      </c>
      <c r="C5" s="23" t="n">
        <v>48</v>
      </c>
      <c r="D5" s="23" t="n">
        <v>55</v>
      </c>
      <c r="E5" s="23" t="n">
        <v>51</v>
      </c>
      <c r="F5" s="23" t="n">
        <v>58</v>
      </c>
      <c r="G5" s="23" t="n">
        <v>2</v>
      </c>
      <c r="H5" s="23" t="n">
        <v>4</v>
      </c>
      <c r="I5" s="10" t="inlineStr">
        <is>
          <t>Batra &amp; Zatoń 50.13→53.16; 투기종목 메타 MD 2.83; Xu +4.72% (+4–8%)</t>
        </is>
      </c>
      <c r="J5" s="11" t="inlineStr">
        <is>
          <t>중간</t>
        </is>
      </c>
    </row>
    <row r="6" ht="30" customHeight="1">
      <c r="A6" s="10" t="inlineStr">
        <is>
          <t>VO2max (mL/kg/min)</t>
        </is>
      </c>
      <c r="B6" s="11" t="inlineStr">
        <is>
          <t>통제군</t>
        </is>
      </c>
      <c r="C6" s="23" t="n">
        <v>48</v>
      </c>
      <c r="D6" s="23" t="n">
        <v>55</v>
      </c>
      <c r="E6" s="23" t="n">
        <v>48</v>
      </c>
      <c r="F6" s="23" t="n">
        <v>56</v>
      </c>
      <c r="G6" s="23" t="n">
        <v>0</v>
      </c>
      <c r="H6" s="23" t="n">
        <v>1</v>
      </c>
      <c r="I6" s="10" t="inlineStr">
        <is>
          <t>Batra &amp; Zatoń 통제군 변화 없음; Xu 통제군 +0.47%</t>
        </is>
      </c>
      <c r="J6" s="11" t="inlineStr">
        <is>
          <t>중간</t>
        </is>
      </c>
    </row>
    <row r="7" ht="30" customHeight="1">
      <c r="A7" s="10" t="inlineStr">
        <is>
          <t>FMS 총점 (점)</t>
        </is>
      </c>
      <c r="B7" s="11" t="inlineStr">
        <is>
          <t>실험군</t>
        </is>
      </c>
      <c r="C7" s="24" t="n">
        <v>13</v>
      </c>
      <c r="D7" s="24" t="n">
        <v>16</v>
      </c>
      <c r="E7" s="24" t="n">
        <v>16</v>
      </c>
      <c r="F7" s="24" t="n">
        <v>18</v>
      </c>
      <c r="G7" s="24" t="n">
        <v>1.7</v>
      </c>
      <c r="H7" s="24" t="n">
        <v>3</v>
      </c>
      <c r="I7" s="10" t="inlineStr">
        <is>
          <t>Maleki MD 1.74–2.89; PeerJ 15.73→18.07; Kiesel 13.3→16.3</t>
        </is>
      </c>
      <c r="J7" s="11" t="inlineStr">
        <is>
          <t>중간</t>
        </is>
      </c>
    </row>
    <row r="8" ht="30" customHeight="1">
      <c r="A8" s="10" t="inlineStr">
        <is>
          <t>FMS 총점 (점)</t>
        </is>
      </c>
      <c r="B8" s="11" t="inlineStr">
        <is>
          <t>통제군</t>
        </is>
      </c>
      <c r="C8" s="24" t="n">
        <v>13</v>
      </c>
      <c r="D8" s="24" t="n">
        <v>16</v>
      </c>
      <c r="E8" s="24" t="n">
        <v>13</v>
      </c>
      <c r="F8" s="24" t="n">
        <v>17</v>
      </c>
      <c r="G8" s="24" t="n">
        <v>0</v>
      </c>
      <c r="H8" s="24" t="n">
        <v>1</v>
      </c>
      <c r="I8" s="10" t="inlineStr">
        <is>
          <t>학습효과로 소폭 증가 가능(Kiesel 2011)</t>
        </is>
      </c>
      <c r="J8" s="11" t="inlineStr">
        <is>
          <t>약함</t>
        </is>
      </c>
    </row>
    <row r="9" ht="30" customHeight="1">
      <c r="A9" s="10" t="inlineStr">
        <is>
          <t>Deep Squat</t>
        </is>
      </c>
      <c r="B9" s="11" t="inlineStr">
        <is>
          <t>실험군</t>
        </is>
      </c>
      <c r="C9" s="24" t="n">
        <v>1.4</v>
      </c>
      <c r="D9" s="24" t="n">
        <v>2</v>
      </c>
      <c r="E9" s="25">
        <f>C9+G9</f>
        <v/>
      </c>
      <c r="F9" s="25">
        <f>MIN(3,D9+H9)</f>
        <v/>
      </c>
      <c r="G9" s="24" t="n">
        <v>0.3</v>
      </c>
      <c r="H9" s="24" t="n">
        <v>0.6</v>
      </c>
      <c r="I9" s="10" t="inlineStr">
        <is>
          <t>Frost 1.4→2.0</t>
        </is>
      </c>
      <c r="J9" s="11" t="inlineStr">
        <is>
          <t>약함</t>
        </is>
      </c>
    </row>
    <row r="10" ht="30" customHeight="1">
      <c r="A10" s="10" t="inlineStr">
        <is>
          <t>Hurdle Step</t>
        </is>
      </c>
      <c r="B10" s="11" t="inlineStr">
        <is>
          <t>실험군</t>
        </is>
      </c>
      <c r="C10" s="24" t="n">
        <v>2</v>
      </c>
      <c r="D10" s="24" t="n">
        <v>2.1</v>
      </c>
      <c r="E10" s="25">
        <f>C10+G10</f>
        <v/>
      </c>
      <c r="F10" s="25">
        <f>MIN(3,D10+H10)</f>
        <v/>
      </c>
      <c r="G10" s="24" t="n">
        <v>0.2</v>
      </c>
      <c r="H10" s="24" t="n">
        <v>0.3</v>
      </c>
      <c r="I10" s="10" t="inlineStr">
        <is>
          <t>Frost 2.1→2.4</t>
        </is>
      </c>
      <c r="J10" s="11" t="inlineStr">
        <is>
          <t>약함</t>
        </is>
      </c>
    </row>
    <row r="11" ht="30" customHeight="1">
      <c r="A11" s="10" t="inlineStr">
        <is>
          <t>In-line Lunge</t>
        </is>
      </c>
      <c r="B11" s="11" t="inlineStr">
        <is>
          <t>실험군</t>
        </is>
      </c>
      <c r="C11" s="24" t="n">
        <v>2.1</v>
      </c>
      <c r="D11" s="24" t="n">
        <v>2.4</v>
      </c>
      <c r="E11" s="25">
        <f>C11+G11</f>
        <v/>
      </c>
      <c r="F11" s="25">
        <f>MIN(3,D11+H11)</f>
        <v/>
      </c>
      <c r="G11" s="24" t="n">
        <v>0.3</v>
      </c>
      <c r="H11" s="24" t="n">
        <v>0.6</v>
      </c>
      <c r="I11" s="10" t="inlineStr">
        <is>
          <t>Frost 2.1→2.7</t>
        </is>
      </c>
      <c r="J11" s="11" t="inlineStr">
        <is>
          <t>약함</t>
        </is>
      </c>
    </row>
    <row r="12" ht="30" customHeight="1">
      <c r="A12" s="10" t="inlineStr">
        <is>
          <t>Shoulder Mobility</t>
        </is>
      </c>
      <c r="B12" s="11" t="inlineStr">
        <is>
          <t>실험군</t>
        </is>
      </c>
      <c r="C12" s="24" t="n">
        <v>2</v>
      </c>
      <c r="D12" s="24" t="n">
        <v>2.6</v>
      </c>
      <c r="E12" s="25">
        <f>C12+G12</f>
        <v/>
      </c>
      <c r="F12" s="25">
        <f>MIN(3,D12+H12)</f>
        <v/>
      </c>
      <c r="G12" s="24" t="n">
        <v>0</v>
      </c>
      <c r="H12" s="24" t="n">
        <v>0</v>
      </c>
      <c r="I12" s="10" t="inlineStr">
        <is>
          <t>프로그램에 어깨 가동성 운동 없음. 선수 수치 미확인</t>
        </is>
      </c>
      <c r="J12" s="11" t="inlineStr">
        <is>
          <t>매우 약함</t>
        </is>
      </c>
    </row>
    <row r="13" ht="30" customHeight="1">
      <c r="A13" s="10" t="inlineStr">
        <is>
          <t>Active Straight Leg Raise</t>
        </is>
      </c>
      <c r="B13" s="11" t="inlineStr">
        <is>
          <t>실험군</t>
        </is>
      </c>
      <c r="C13" s="24" t="n">
        <v>2</v>
      </c>
      <c r="D13" s="24" t="n">
        <v>2.5</v>
      </c>
      <c r="E13" s="25">
        <f>C13+G13</f>
        <v/>
      </c>
      <c r="F13" s="25">
        <f>MIN(3,D13+H13)</f>
        <v/>
      </c>
      <c r="G13" s="24" t="n">
        <v>0</v>
      </c>
      <c r="H13" s="24" t="n">
        <v>0.2</v>
      </c>
      <c r="I13" s="10" t="inlineStr">
        <is>
          <t>프로그램에 햄스트링 유연성 운동 없음. 선수 수치 미확인</t>
        </is>
      </c>
      <c r="J13" s="11" t="inlineStr">
        <is>
          <t>매우 약함</t>
        </is>
      </c>
    </row>
    <row r="14" ht="30" customHeight="1">
      <c r="A14" s="10" t="inlineStr">
        <is>
          <t>Trunk Stability Push-up</t>
        </is>
      </c>
      <c r="B14" s="11" t="inlineStr">
        <is>
          <t>실험군</t>
        </is>
      </c>
      <c r="C14" s="24" t="n">
        <v>1.2</v>
      </c>
      <c r="D14" s="24" t="n">
        <v>2.2</v>
      </c>
      <c r="E14" s="25">
        <f>C14+G14</f>
        <v/>
      </c>
      <c r="F14" s="25">
        <f>MIN(3,D14+H14)</f>
        <v/>
      </c>
      <c r="G14" s="24" t="n">
        <v>0</v>
      </c>
      <c r="H14" s="24" t="n">
        <v>0.3</v>
      </c>
      <c r="I14" s="10" t="inlineStr">
        <is>
          <t>고교 선수 1.20–1.41</t>
        </is>
      </c>
      <c r="J14" s="11" t="inlineStr">
        <is>
          <t>약함</t>
        </is>
      </c>
    </row>
    <row r="15" ht="30" customHeight="1">
      <c r="A15" s="10" t="inlineStr">
        <is>
          <t>Rotary Stability</t>
        </is>
      </c>
      <c r="B15" s="11" t="inlineStr">
        <is>
          <t>실험군</t>
        </is>
      </c>
      <c r="C15" s="24" t="n">
        <v>1.5</v>
      </c>
      <c r="D15" s="24" t="n">
        <v>2.3</v>
      </c>
      <c r="E15" s="25">
        <f>C15+G15</f>
        <v/>
      </c>
      <c r="F15" s="25">
        <f>MIN(3,D15+H15)</f>
        <v/>
      </c>
      <c r="G15" s="24" t="n">
        <v>0.1</v>
      </c>
      <c r="H15" s="24" t="n">
        <v>0.3</v>
      </c>
      <c r="I15" s="10" t="inlineStr">
        <is>
          <t>고교 선수 1.51–1.56; Frost 2.3→2.4</t>
        </is>
      </c>
      <c r="J15" s="11" t="inlineStr">
        <is>
          <t>약함</t>
        </is>
      </c>
    </row>
    <row r="17">
      <c r="A17" s="26" t="inlineStr">
        <is>
          <t>판단 기준: 실험군 VO2max 변화가 +10 이상, FMS 총점 변화가 +4 이상이면 선행연구 범위를 크게 벗어나므로 측정 절차와 입력값을 먼저 확인하세요. FMS 평균 변화가 2점 안팎이면 최소탐지변화량(2.1–2.5점)과 함께 해석하세요.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2026-10-28T07:37:19Z</dcterms:created>
  <dcterms:modified xmlns:dcterms="http://purl.org/dc/terms/" xmlns:xsi="http://www.w3.org/2001/XMLSchema-instance" xsi:type="dcterms:W3CDTF">2026-10-28T07:37:19Z</dcterms:modified>
</cp:coreProperties>
</file>